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CDS\Excel\ForBlog\"/>
    </mc:Choice>
  </mc:AlternateContent>
  <bookViews>
    <workbookView xWindow="0" yWindow="0" windowWidth="19200" windowHeight="11370"/>
  </bookViews>
  <sheets>
    <sheet name="YieldCurveBootstrap" sheetId="1" r:id="rId1"/>
  </sheets>
  <definedNames>
    <definedName name="CouponDates">YieldCurveBootstrap!$Q$20:$Q$79</definedName>
    <definedName name="CouponPVs">YieldCurveBootstrap!$Y$20:$Y$79</definedName>
    <definedName name="DCCCodes">YieldCurveBootstrap!$C$28:$C$32</definedName>
    <definedName name="DCCs">YieldCurveBootstrap!$B$28:$B$32</definedName>
    <definedName name="DepoDCC">YieldCurveBootstrap!$D$22</definedName>
    <definedName name="DiscountFactors">YieldCurveBootstrap!$M$21:$M$40</definedName>
    <definedName name="MarketRates">YieldCurveBootstrap!$H$21:$H$40</definedName>
    <definedName name="Nodes">YieldCurveBootstrap!$L$21:$L$40</definedName>
    <definedName name="SpotDate">YieldCurveBootstrap!$C$18</definedName>
    <definedName name="SpotDays">YieldCurveBootstrap!$C$17</definedName>
    <definedName name="SwapDCC">YieldCurveBootstrap!$D$23</definedName>
    <definedName name="SwapDFs">YieldCurveBootstrap!$AD$20:$AD$33</definedName>
    <definedName name="SwapPVs">YieldCurveBootstrap!$AE$20:$AE$33</definedName>
    <definedName name="Tenors">YieldCurveBootstrap!$G$21:$G$40</definedName>
    <definedName name="TradeDate">YieldCurveBootstrap!$C$16</definedName>
    <definedName name="ZeroDCC">YieldCurveBootstrap!$D$24</definedName>
  </definedNames>
  <calcPr calcId="162913" iterateDelta="1E-4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1" i="1" l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20" i="1"/>
  <c r="D23" i="1"/>
  <c r="D24" i="1"/>
  <c r="D22" i="1"/>
  <c r="C18" i="1"/>
  <c r="M28" i="1" l="1"/>
  <c r="M29" i="1"/>
  <c r="M30" i="1"/>
  <c r="M31" i="1"/>
  <c r="M32" i="1"/>
  <c r="M33" i="1"/>
  <c r="M34" i="1"/>
  <c r="M35" i="1"/>
  <c r="M36" i="1"/>
  <c r="M37" i="1"/>
  <c r="M38" i="1"/>
  <c r="M39" i="1"/>
  <c r="M40" i="1"/>
  <c r="M27" i="1"/>
  <c r="AA32" i="1"/>
  <c r="AA33" i="1"/>
  <c r="AA21" i="1"/>
  <c r="AA22" i="1"/>
  <c r="AA23" i="1"/>
  <c r="AA24" i="1"/>
  <c r="AA25" i="1"/>
  <c r="AA26" i="1"/>
  <c r="AA27" i="1"/>
  <c r="AA28" i="1"/>
  <c r="AA29" i="1"/>
  <c r="AA30" i="1"/>
  <c r="AA31" i="1"/>
  <c r="AA20" i="1"/>
  <c r="AI20" i="1" l="1"/>
  <c r="AI27" i="1"/>
  <c r="AL27" i="1" s="1"/>
  <c r="AI28" i="1"/>
  <c r="AL28" i="1" s="1"/>
  <c r="AI29" i="1"/>
  <c r="AL29" i="1" s="1"/>
  <c r="AI30" i="1"/>
  <c r="AL30" i="1" s="1"/>
  <c r="AI31" i="1"/>
  <c r="AL31" i="1" s="1"/>
  <c r="AI32" i="1"/>
  <c r="AL32" i="1" s="1"/>
  <c r="AI33" i="1"/>
  <c r="AL33" i="1" s="1"/>
  <c r="AI34" i="1"/>
  <c r="AL34" i="1" s="1"/>
  <c r="AI35" i="1"/>
  <c r="AL35" i="1" s="1"/>
  <c r="AI36" i="1"/>
  <c r="AL36" i="1" s="1"/>
  <c r="AI37" i="1"/>
  <c r="AL37" i="1" s="1"/>
  <c r="AI38" i="1"/>
  <c r="AL38" i="1" s="1"/>
  <c r="AI39" i="1"/>
  <c r="AL39" i="1" s="1"/>
  <c r="AI40" i="1"/>
  <c r="AL40" i="1" s="1"/>
  <c r="L19" i="1"/>
  <c r="AG19" i="1" s="1"/>
  <c r="O20" i="1" l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L20" i="1" l="1"/>
  <c r="O51" i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P50" i="1"/>
  <c r="Q50" i="1" s="1"/>
  <c r="P34" i="1"/>
  <c r="Q34" i="1" s="1"/>
  <c r="P22" i="1"/>
  <c r="Q22" i="1" s="1"/>
  <c r="P30" i="1"/>
  <c r="Q30" i="1" s="1"/>
  <c r="P38" i="1"/>
  <c r="Q38" i="1" s="1"/>
  <c r="P46" i="1"/>
  <c r="Q46" i="1" s="1"/>
  <c r="P42" i="1"/>
  <c r="Q42" i="1" s="1"/>
  <c r="P26" i="1"/>
  <c r="Q26" i="1" s="1"/>
  <c r="P21" i="1"/>
  <c r="Q21" i="1" s="1"/>
  <c r="R22" i="1" s="1"/>
  <c r="P23" i="1"/>
  <c r="Q23" i="1" s="1"/>
  <c r="P25" i="1"/>
  <c r="Q25" i="1" s="1"/>
  <c r="P27" i="1"/>
  <c r="Q27" i="1" s="1"/>
  <c r="P29" i="1"/>
  <c r="Q29" i="1" s="1"/>
  <c r="P31" i="1"/>
  <c r="Q31" i="1" s="1"/>
  <c r="P33" i="1"/>
  <c r="Q33" i="1" s="1"/>
  <c r="P35" i="1"/>
  <c r="Q35" i="1" s="1"/>
  <c r="P37" i="1"/>
  <c r="Q37" i="1" s="1"/>
  <c r="P39" i="1"/>
  <c r="Q39" i="1" s="1"/>
  <c r="P41" i="1"/>
  <c r="Q41" i="1" s="1"/>
  <c r="P43" i="1"/>
  <c r="Q43" i="1" s="1"/>
  <c r="P45" i="1"/>
  <c r="Q45" i="1" s="1"/>
  <c r="P47" i="1"/>
  <c r="Q47" i="1" s="1"/>
  <c r="P49" i="1"/>
  <c r="Q49" i="1" s="1"/>
  <c r="P57" i="1"/>
  <c r="Q57" i="1" s="1"/>
  <c r="P19" i="1"/>
  <c r="Q19" i="1" s="1"/>
  <c r="P48" i="1"/>
  <c r="Q48" i="1" s="1"/>
  <c r="P44" i="1"/>
  <c r="Q44" i="1" s="1"/>
  <c r="P40" i="1"/>
  <c r="Q40" i="1" s="1"/>
  <c r="P36" i="1"/>
  <c r="Q36" i="1" s="1"/>
  <c r="P32" i="1"/>
  <c r="Q32" i="1" s="1"/>
  <c r="P28" i="1"/>
  <c r="Q28" i="1" s="1"/>
  <c r="P24" i="1"/>
  <c r="Q24" i="1" s="1"/>
  <c r="P20" i="1"/>
  <c r="Q20" i="1" s="1"/>
  <c r="R20" i="1" l="1"/>
  <c r="AG20" i="1"/>
  <c r="R21" i="1"/>
  <c r="R25" i="1"/>
  <c r="R24" i="1"/>
  <c r="R23" i="1"/>
  <c r="P64" i="1"/>
  <c r="Q64" i="1" s="1"/>
  <c r="P65" i="1"/>
  <c r="Q65" i="1" s="1"/>
  <c r="P56" i="1"/>
  <c r="Q56" i="1" s="1"/>
  <c r="P61" i="1"/>
  <c r="Q61" i="1" s="1"/>
  <c r="P53" i="1"/>
  <c r="Q53" i="1" s="1"/>
  <c r="P62" i="1"/>
  <c r="Q62" i="1" s="1"/>
  <c r="P52" i="1"/>
  <c r="Q52" i="1" s="1"/>
  <c r="R53" i="1" s="1"/>
  <c r="P60" i="1"/>
  <c r="Q60" i="1" s="1"/>
  <c r="P63" i="1"/>
  <c r="Q63" i="1" s="1"/>
  <c r="P59" i="1"/>
  <c r="Q59" i="1" s="1"/>
  <c r="P55" i="1"/>
  <c r="Q55" i="1" s="1"/>
  <c r="P51" i="1"/>
  <c r="Q51" i="1" s="1"/>
  <c r="P58" i="1"/>
  <c r="Q58" i="1" s="1"/>
  <c r="P54" i="1"/>
  <c r="Q54" i="1" s="1"/>
  <c r="R35" i="1"/>
  <c r="R51" i="1"/>
  <c r="O67" i="1"/>
  <c r="P66" i="1"/>
  <c r="Q66" i="1" s="1"/>
  <c r="R29" i="1"/>
  <c r="R37" i="1"/>
  <c r="R45" i="1"/>
  <c r="R61" i="1"/>
  <c r="R50" i="1"/>
  <c r="R46" i="1"/>
  <c r="R42" i="1"/>
  <c r="R38" i="1"/>
  <c r="R34" i="1"/>
  <c r="R30" i="1"/>
  <c r="R26" i="1"/>
  <c r="R27" i="1"/>
  <c r="R43" i="1"/>
  <c r="R33" i="1"/>
  <c r="R41" i="1"/>
  <c r="R49" i="1"/>
  <c r="R48" i="1"/>
  <c r="R44" i="1"/>
  <c r="R40" i="1"/>
  <c r="R36" i="1"/>
  <c r="R32" i="1"/>
  <c r="R28" i="1"/>
  <c r="R31" i="1"/>
  <c r="R39" i="1"/>
  <c r="R47" i="1"/>
  <c r="R56" i="1" l="1"/>
  <c r="R57" i="1"/>
  <c r="R65" i="1"/>
  <c r="R63" i="1"/>
  <c r="R62" i="1"/>
  <c r="R64" i="1"/>
  <c r="R58" i="1"/>
  <c r="R66" i="1"/>
  <c r="R54" i="1"/>
  <c r="R52" i="1"/>
  <c r="R60" i="1"/>
  <c r="R59" i="1"/>
  <c r="R55" i="1"/>
  <c r="O68" i="1"/>
  <c r="P67" i="1"/>
  <c r="Q67" i="1" s="1"/>
  <c r="O69" i="1" l="1"/>
  <c r="P68" i="1"/>
  <c r="Q68" i="1" s="1"/>
  <c r="R67" i="1"/>
  <c r="R68" i="1" l="1"/>
  <c r="O70" i="1"/>
  <c r="P69" i="1"/>
  <c r="Q69" i="1" s="1"/>
  <c r="O71" i="1" l="1"/>
  <c r="P70" i="1"/>
  <c r="Q70" i="1" s="1"/>
  <c r="R69" i="1"/>
  <c r="O72" i="1" l="1"/>
  <c r="P71" i="1"/>
  <c r="Q71" i="1" s="1"/>
  <c r="R70" i="1"/>
  <c r="O73" i="1" l="1"/>
  <c r="P72" i="1"/>
  <c r="Q72" i="1" s="1"/>
  <c r="R71" i="1"/>
  <c r="R72" i="1" l="1"/>
  <c r="O74" i="1"/>
  <c r="P73" i="1"/>
  <c r="Q73" i="1" s="1"/>
  <c r="O75" i="1" l="1"/>
  <c r="P74" i="1"/>
  <c r="Q74" i="1" s="1"/>
  <c r="R73" i="1"/>
  <c r="O76" i="1" l="1"/>
  <c r="P75" i="1"/>
  <c r="Q75" i="1" s="1"/>
  <c r="R74" i="1"/>
  <c r="R75" i="1" l="1"/>
  <c r="O77" i="1"/>
  <c r="P76" i="1"/>
  <c r="Q76" i="1" s="1"/>
  <c r="R76" i="1" l="1"/>
  <c r="O78" i="1"/>
  <c r="P77" i="1"/>
  <c r="Q77" i="1" s="1"/>
  <c r="J22" i="1"/>
  <c r="K22" i="1" s="1"/>
  <c r="L22" i="1" s="1"/>
  <c r="J23" i="1"/>
  <c r="K23" i="1" s="1"/>
  <c r="L23" i="1" s="1"/>
  <c r="J24" i="1"/>
  <c r="K24" i="1" s="1"/>
  <c r="L24" i="1" s="1"/>
  <c r="J25" i="1"/>
  <c r="K25" i="1" s="1"/>
  <c r="L25" i="1" s="1"/>
  <c r="J26" i="1"/>
  <c r="K26" i="1" s="1"/>
  <c r="L26" i="1" s="1"/>
  <c r="J27" i="1"/>
  <c r="K27" i="1" s="1"/>
  <c r="L27" i="1" s="1"/>
  <c r="AG27" i="1" s="1"/>
  <c r="AH27" i="1" s="1"/>
  <c r="J28" i="1"/>
  <c r="K28" i="1" s="1"/>
  <c r="L28" i="1" s="1"/>
  <c r="AG28" i="1" s="1"/>
  <c r="AH28" i="1" s="1"/>
  <c r="J29" i="1"/>
  <c r="K29" i="1" s="1"/>
  <c r="L29" i="1" s="1"/>
  <c r="AG29" i="1" s="1"/>
  <c r="AH29" i="1" s="1"/>
  <c r="J30" i="1"/>
  <c r="K30" i="1" s="1"/>
  <c r="L30" i="1" s="1"/>
  <c r="S20" i="1" s="1"/>
  <c r="J31" i="1"/>
  <c r="K31" i="1" s="1"/>
  <c r="L31" i="1" s="1"/>
  <c r="AG31" i="1" s="1"/>
  <c r="AH31" i="1" s="1"/>
  <c r="J32" i="1"/>
  <c r="K32" i="1" s="1"/>
  <c r="L32" i="1" s="1"/>
  <c r="AG32" i="1" s="1"/>
  <c r="AH32" i="1" s="1"/>
  <c r="J33" i="1"/>
  <c r="K33" i="1" s="1"/>
  <c r="L33" i="1" s="1"/>
  <c r="AG33" i="1" s="1"/>
  <c r="AH33" i="1" s="1"/>
  <c r="J34" i="1"/>
  <c r="K34" i="1" s="1"/>
  <c r="L34" i="1" s="1"/>
  <c r="AG34" i="1" s="1"/>
  <c r="AH34" i="1" s="1"/>
  <c r="J35" i="1"/>
  <c r="K35" i="1" s="1"/>
  <c r="L35" i="1" s="1"/>
  <c r="AG35" i="1" s="1"/>
  <c r="AH35" i="1" s="1"/>
  <c r="J36" i="1"/>
  <c r="K36" i="1" s="1"/>
  <c r="L36" i="1" s="1"/>
  <c r="AG36" i="1" s="1"/>
  <c r="AH36" i="1" s="1"/>
  <c r="J37" i="1"/>
  <c r="K37" i="1" s="1"/>
  <c r="L37" i="1" s="1"/>
  <c r="AG37" i="1" s="1"/>
  <c r="AH37" i="1" s="1"/>
  <c r="J38" i="1"/>
  <c r="K38" i="1" s="1"/>
  <c r="L38" i="1" s="1"/>
  <c r="AG38" i="1" s="1"/>
  <c r="AH38" i="1" s="1"/>
  <c r="J39" i="1"/>
  <c r="K39" i="1" s="1"/>
  <c r="L39" i="1" s="1"/>
  <c r="AG39" i="1" s="1"/>
  <c r="AH39" i="1" s="1"/>
  <c r="J40" i="1"/>
  <c r="K40" i="1" s="1"/>
  <c r="L40" i="1" s="1"/>
  <c r="AG40" i="1" s="1"/>
  <c r="AH40" i="1" s="1"/>
  <c r="J21" i="1"/>
  <c r="K21" i="1" s="1"/>
  <c r="L21" i="1" s="1"/>
  <c r="M21" i="1" l="1"/>
  <c r="M19" i="1" s="1"/>
  <c r="AG30" i="1"/>
  <c r="AH30" i="1" s="1"/>
  <c r="M24" i="1"/>
  <c r="AG24" i="1"/>
  <c r="M22" i="1"/>
  <c r="AG22" i="1"/>
  <c r="M26" i="1"/>
  <c r="AG26" i="1"/>
  <c r="AG21" i="1"/>
  <c r="M25" i="1"/>
  <c r="AG25" i="1"/>
  <c r="M23" i="1"/>
  <c r="AG23" i="1"/>
  <c r="S77" i="1"/>
  <c r="S24" i="1"/>
  <c r="S40" i="1"/>
  <c r="S57" i="1"/>
  <c r="S43" i="1"/>
  <c r="S35" i="1"/>
  <c r="S27" i="1"/>
  <c r="S26" i="1"/>
  <c r="S30" i="1"/>
  <c r="S36" i="1"/>
  <c r="S49" i="1"/>
  <c r="S41" i="1"/>
  <c r="S33" i="1"/>
  <c r="S25" i="1"/>
  <c r="S42" i="1"/>
  <c r="S22" i="1"/>
  <c r="S32" i="1"/>
  <c r="S48" i="1"/>
  <c r="S47" i="1"/>
  <c r="S39" i="1"/>
  <c r="S31" i="1"/>
  <c r="S23" i="1"/>
  <c r="S46" i="1"/>
  <c r="S34" i="1"/>
  <c r="S28" i="1"/>
  <c r="S44" i="1"/>
  <c r="S45" i="1"/>
  <c r="S37" i="1"/>
  <c r="S29" i="1"/>
  <c r="S21" i="1"/>
  <c r="S38" i="1"/>
  <c r="S50" i="1"/>
  <c r="S66" i="1"/>
  <c r="S51" i="1"/>
  <c r="S60" i="1"/>
  <c r="S61" i="1"/>
  <c r="S58" i="1"/>
  <c r="S63" i="1"/>
  <c r="S53" i="1"/>
  <c r="S64" i="1"/>
  <c r="S54" i="1"/>
  <c r="S59" i="1"/>
  <c r="S62" i="1"/>
  <c r="S65" i="1"/>
  <c r="S55" i="1"/>
  <c r="S52" i="1"/>
  <c r="S56" i="1"/>
  <c r="S67" i="1"/>
  <c r="S68" i="1"/>
  <c r="S69" i="1"/>
  <c r="S70" i="1"/>
  <c r="S71" i="1"/>
  <c r="S72" i="1"/>
  <c r="S73" i="1"/>
  <c r="S74" i="1"/>
  <c r="S75" i="1"/>
  <c r="S76" i="1"/>
  <c r="O79" i="1"/>
  <c r="P79" i="1" s="1"/>
  <c r="Q79" i="1" s="1"/>
  <c r="P78" i="1"/>
  <c r="Q78" i="1" s="1"/>
  <c r="R77" i="1"/>
  <c r="U75" i="1" l="1"/>
  <c r="W75" i="1"/>
  <c r="V75" i="1"/>
  <c r="T75" i="1"/>
  <c r="U73" i="1"/>
  <c r="W73" i="1"/>
  <c r="V73" i="1"/>
  <c r="T73" i="1"/>
  <c r="U71" i="1"/>
  <c r="W71" i="1"/>
  <c r="V71" i="1"/>
  <c r="T71" i="1"/>
  <c r="U69" i="1"/>
  <c r="W69" i="1"/>
  <c r="V69" i="1"/>
  <c r="T69" i="1"/>
  <c r="U67" i="1"/>
  <c r="W67" i="1"/>
  <c r="V67" i="1"/>
  <c r="T67" i="1"/>
  <c r="U52" i="1"/>
  <c r="W52" i="1"/>
  <c r="T52" i="1"/>
  <c r="V52" i="1"/>
  <c r="U65" i="1"/>
  <c r="W65" i="1"/>
  <c r="V65" i="1"/>
  <c r="T65" i="1"/>
  <c r="U59" i="1"/>
  <c r="W59" i="1"/>
  <c r="T59" i="1"/>
  <c r="V59" i="1"/>
  <c r="U64" i="1"/>
  <c r="W64" i="1"/>
  <c r="V64" i="1"/>
  <c r="T64" i="1"/>
  <c r="U63" i="1"/>
  <c r="W63" i="1"/>
  <c r="V63" i="1"/>
  <c r="T63" i="1"/>
  <c r="U61" i="1"/>
  <c r="W61" i="1"/>
  <c r="V61" i="1"/>
  <c r="T61" i="1"/>
  <c r="U51" i="1"/>
  <c r="W51" i="1"/>
  <c r="T51" i="1"/>
  <c r="V51" i="1"/>
  <c r="U50" i="1"/>
  <c r="W50" i="1"/>
  <c r="T50" i="1"/>
  <c r="V50" i="1"/>
  <c r="T21" i="1"/>
  <c r="V21" i="1"/>
  <c r="U21" i="1"/>
  <c r="W21" i="1"/>
  <c r="T37" i="1"/>
  <c r="V37" i="1"/>
  <c r="U37" i="1"/>
  <c r="W37" i="1"/>
  <c r="T44" i="1"/>
  <c r="V44" i="1"/>
  <c r="U44" i="1"/>
  <c r="W44" i="1"/>
  <c r="T34" i="1"/>
  <c r="V34" i="1"/>
  <c r="U34" i="1"/>
  <c r="W34" i="1"/>
  <c r="T23" i="1"/>
  <c r="V23" i="1"/>
  <c r="U23" i="1"/>
  <c r="W23" i="1"/>
  <c r="T39" i="1"/>
  <c r="V39" i="1"/>
  <c r="U39" i="1"/>
  <c r="W39" i="1"/>
  <c r="T48" i="1"/>
  <c r="U48" i="1"/>
  <c r="W48" i="1"/>
  <c r="V48" i="1"/>
  <c r="T22" i="1"/>
  <c r="V22" i="1"/>
  <c r="U22" i="1"/>
  <c r="W22" i="1"/>
  <c r="T25" i="1"/>
  <c r="V25" i="1"/>
  <c r="U25" i="1"/>
  <c r="W25" i="1"/>
  <c r="T41" i="1"/>
  <c r="V41" i="1"/>
  <c r="U41" i="1"/>
  <c r="W41" i="1"/>
  <c r="T36" i="1"/>
  <c r="V36" i="1"/>
  <c r="U36" i="1"/>
  <c r="W36" i="1"/>
  <c r="T30" i="1"/>
  <c r="V30" i="1"/>
  <c r="U30" i="1"/>
  <c r="W30" i="1"/>
  <c r="T27" i="1"/>
  <c r="V27" i="1"/>
  <c r="U27" i="1"/>
  <c r="W27" i="1"/>
  <c r="T43" i="1"/>
  <c r="V43" i="1"/>
  <c r="U43" i="1"/>
  <c r="W43" i="1"/>
  <c r="T40" i="1"/>
  <c r="V40" i="1"/>
  <c r="U40" i="1"/>
  <c r="W40" i="1"/>
  <c r="U77" i="1"/>
  <c r="W77" i="1"/>
  <c r="V77" i="1"/>
  <c r="T77" i="1"/>
  <c r="U76" i="1"/>
  <c r="W76" i="1"/>
  <c r="V76" i="1"/>
  <c r="T76" i="1"/>
  <c r="U74" i="1"/>
  <c r="W74" i="1"/>
  <c r="V74" i="1"/>
  <c r="T74" i="1"/>
  <c r="U72" i="1"/>
  <c r="W72" i="1"/>
  <c r="V72" i="1"/>
  <c r="T72" i="1"/>
  <c r="U70" i="1"/>
  <c r="W70" i="1"/>
  <c r="V70" i="1"/>
  <c r="T70" i="1"/>
  <c r="U68" i="1"/>
  <c r="W68" i="1"/>
  <c r="V68" i="1"/>
  <c r="T68" i="1"/>
  <c r="U56" i="1"/>
  <c r="W56" i="1"/>
  <c r="T56" i="1"/>
  <c r="V56" i="1"/>
  <c r="U55" i="1"/>
  <c r="W55" i="1"/>
  <c r="T55" i="1"/>
  <c r="V55" i="1"/>
  <c r="U62" i="1"/>
  <c r="W62" i="1"/>
  <c r="V62" i="1"/>
  <c r="T62" i="1"/>
  <c r="U54" i="1"/>
  <c r="W54" i="1"/>
  <c r="T54" i="1"/>
  <c r="V54" i="1"/>
  <c r="U53" i="1"/>
  <c r="W53" i="1"/>
  <c r="T53" i="1"/>
  <c r="V53" i="1"/>
  <c r="U58" i="1"/>
  <c r="W58" i="1"/>
  <c r="T58" i="1"/>
  <c r="V58" i="1"/>
  <c r="U60" i="1"/>
  <c r="W60" i="1"/>
  <c r="V60" i="1"/>
  <c r="T60" i="1"/>
  <c r="U66" i="1"/>
  <c r="W66" i="1"/>
  <c r="V66" i="1"/>
  <c r="T66" i="1"/>
  <c r="T38" i="1"/>
  <c r="V38" i="1"/>
  <c r="U38" i="1"/>
  <c r="W38" i="1"/>
  <c r="T29" i="1"/>
  <c r="V29" i="1"/>
  <c r="U29" i="1"/>
  <c r="W29" i="1"/>
  <c r="T45" i="1"/>
  <c r="V45" i="1"/>
  <c r="U45" i="1"/>
  <c r="W45" i="1"/>
  <c r="T28" i="1"/>
  <c r="V28" i="1"/>
  <c r="U28" i="1"/>
  <c r="W28" i="1"/>
  <c r="T46" i="1"/>
  <c r="V46" i="1"/>
  <c r="U46" i="1"/>
  <c r="W46" i="1"/>
  <c r="T31" i="1"/>
  <c r="V31" i="1"/>
  <c r="U31" i="1"/>
  <c r="W31" i="1"/>
  <c r="T47" i="1"/>
  <c r="V47" i="1"/>
  <c r="U47" i="1"/>
  <c r="W47" i="1"/>
  <c r="T32" i="1"/>
  <c r="V32" i="1"/>
  <c r="U32" i="1"/>
  <c r="W32" i="1"/>
  <c r="T42" i="1"/>
  <c r="V42" i="1"/>
  <c r="U42" i="1"/>
  <c r="W42" i="1"/>
  <c r="T33" i="1"/>
  <c r="V33" i="1"/>
  <c r="U33" i="1"/>
  <c r="W33" i="1"/>
  <c r="U49" i="1"/>
  <c r="W49" i="1"/>
  <c r="T49" i="1"/>
  <c r="V49" i="1"/>
  <c r="T26" i="1"/>
  <c r="V26" i="1"/>
  <c r="U26" i="1"/>
  <c r="W26" i="1"/>
  <c r="T35" i="1"/>
  <c r="V35" i="1"/>
  <c r="U35" i="1"/>
  <c r="W35" i="1"/>
  <c r="U57" i="1"/>
  <c r="W57" i="1"/>
  <c r="T57" i="1"/>
  <c r="V57" i="1"/>
  <c r="T24" i="1"/>
  <c r="V24" i="1"/>
  <c r="U24" i="1"/>
  <c r="W24" i="1"/>
  <c r="W20" i="1"/>
  <c r="U20" i="1"/>
  <c r="V20" i="1"/>
  <c r="T20" i="1"/>
  <c r="AI23" i="1"/>
  <c r="AI25" i="1"/>
  <c r="AI21" i="1"/>
  <c r="AI26" i="1"/>
  <c r="AI22" i="1"/>
  <c r="AI24" i="1"/>
  <c r="S78" i="1"/>
  <c r="S79" i="1"/>
  <c r="R79" i="1"/>
  <c r="R78" i="1"/>
  <c r="X57" i="1" l="1"/>
  <c r="Y57" i="1" s="1"/>
  <c r="X49" i="1"/>
  <c r="Y49" i="1" s="1"/>
  <c r="X31" i="1"/>
  <c r="Y31" i="1" s="1"/>
  <c r="X58" i="1"/>
  <c r="Y58" i="1" s="1"/>
  <c r="X53" i="1"/>
  <c r="Y53" i="1" s="1"/>
  <c r="X54" i="1"/>
  <c r="Y54" i="1" s="1"/>
  <c r="X56" i="1"/>
  <c r="Y56" i="1" s="1"/>
  <c r="X50" i="1"/>
  <c r="Y50" i="1" s="1"/>
  <c r="X51" i="1"/>
  <c r="Y51" i="1" s="1"/>
  <c r="X59" i="1"/>
  <c r="Y59" i="1" s="1"/>
  <c r="X52" i="1"/>
  <c r="Y52" i="1" s="1"/>
  <c r="X29" i="1"/>
  <c r="Y29" i="1" s="1"/>
  <c r="U78" i="1"/>
  <c r="W78" i="1"/>
  <c r="V78" i="1"/>
  <c r="T78" i="1"/>
  <c r="X24" i="1"/>
  <c r="X33" i="1"/>
  <c r="Y33" i="1" s="1"/>
  <c r="X42" i="1"/>
  <c r="Y42" i="1" s="1"/>
  <c r="X32" i="1"/>
  <c r="Y32" i="1" s="1"/>
  <c r="X47" i="1"/>
  <c r="Y47" i="1" s="1"/>
  <c r="X38" i="1"/>
  <c r="Y38" i="1" s="1"/>
  <c r="X55" i="1"/>
  <c r="Y55" i="1" s="1"/>
  <c r="X40" i="1"/>
  <c r="Y40" i="1" s="1"/>
  <c r="X43" i="1"/>
  <c r="Y43" i="1" s="1"/>
  <c r="X27" i="1"/>
  <c r="Y27" i="1" s="1"/>
  <c r="X30" i="1"/>
  <c r="Y30" i="1" s="1"/>
  <c r="X36" i="1"/>
  <c r="Y36" i="1" s="1"/>
  <c r="X41" i="1"/>
  <c r="Y41" i="1" s="1"/>
  <c r="X25" i="1"/>
  <c r="X22" i="1"/>
  <c r="X48" i="1"/>
  <c r="Y48" i="1" s="1"/>
  <c r="X39" i="1"/>
  <c r="Y39" i="1" s="1"/>
  <c r="X23" i="1"/>
  <c r="X34" i="1"/>
  <c r="Y34" i="1" s="1"/>
  <c r="X44" i="1"/>
  <c r="Y44" i="1" s="1"/>
  <c r="X37" i="1"/>
  <c r="Y37" i="1" s="1"/>
  <c r="X21" i="1"/>
  <c r="U79" i="1"/>
  <c r="W79" i="1"/>
  <c r="V79" i="1"/>
  <c r="T79" i="1"/>
  <c r="X20" i="1"/>
  <c r="X66" i="1"/>
  <c r="Y66" i="1" s="1"/>
  <c r="X60" i="1"/>
  <c r="Y60" i="1" s="1"/>
  <c r="X62" i="1"/>
  <c r="Y62" i="1" s="1"/>
  <c r="X68" i="1"/>
  <c r="Y68" i="1" s="1"/>
  <c r="X70" i="1"/>
  <c r="Y70" i="1" s="1"/>
  <c r="X72" i="1"/>
  <c r="Y72" i="1" s="1"/>
  <c r="X74" i="1"/>
  <c r="Y74" i="1" s="1"/>
  <c r="X76" i="1"/>
  <c r="Y76" i="1" s="1"/>
  <c r="X77" i="1"/>
  <c r="Y77" i="1" s="1"/>
  <c r="X61" i="1"/>
  <c r="Y61" i="1" s="1"/>
  <c r="X63" i="1"/>
  <c r="Y63" i="1" s="1"/>
  <c r="X64" i="1"/>
  <c r="Y64" i="1" s="1"/>
  <c r="X65" i="1"/>
  <c r="Y65" i="1" s="1"/>
  <c r="X67" i="1"/>
  <c r="Y67" i="1" s="1"/>
  <c r="X69" i="1"/>
  <c r="Y69" i="1" s="1"/>
  <c r="X71" i="1"/>
  <c r="Y71" i="1" s="1"/>
  <c r="X73" i="1"/>
  <c r="Y73" i="1" s="1"/>
  <c r="X75" i="1"/>
  <c r="Y75" i="1" s="1"/>
  <c r="X35" i="1"/>
  <c r="Y35" i="1" s="1"/>
  <c r="X26" i="1"/>
  <c r="Y26" i="1" s="1"/>
  <c r="X46" i="1"/>
  <c r="Y46" i="1" s="1"/>
  <c r="X28" i="1"/>
  <c r="Y28" i="1" s="1"/>
  <c r="X45" i="1"/>
  <c r="Y45" i="1" s="1"/>
  <c r="Y20" i="1"/>
  <c r="AH24" i="1"/>
  <c r="AL24" i="1"/>
  <c r="AH26" i="1"/>
  <c r="AL26" i="1"/>
  <c r="AH25" i="1"/>
  <c r="AL25" i="1"/>
  <c r="AH22" i="1"/>
  <c r="AL22" i="1"/>
  <c r="AH21" i="1"/>
  <c r="AL21" i="1"/>
  <c r="AH23" i="1"/>
  <c r="AL23" i="1"/>
  <c r="Y21" i="1"/>
  <c r="AI19" i="1"/>
  <c r="X79" i="1" l="1"/>
  <c r="Y79" i="1" s="1"/>
  <c r="X78" i="1"/>
  <c r="Y78" i="1" s="1"/>
  <c r="Y22" i="1"/>
  <c r="Y24" i="1" l="1"/>
  <c r="Y25" i="1"/>
  <c r="Y23" i="1"/>
  <c r="AE24" i="1" l="1"/>
  <c r="AE28" i="1"/>
  <c r="AE32" i="1"/>
  <c r="AE21" i="1"/>
  <c r="AE25" i="1"/>
  <c r="AE29" i="1"/>
  <c r="AE33" i="1"/>
  <c r="AE30" i="1"/>
  <c r="AE23" i="1"/>
  <c r="AE31" i="1"/>
  <c r="AE26" i="1"/>
  <c r="AE20" i="1"/>
  <c r="AE27" i="1"/>
  <c r="AE22" i="1"/>
  <c r="B10" i="1" l="1"/>
</calcChain>
</file>

<file path=xl/sharedStrings.xml><?xml version="1.0" encoding="utf-8"?>
<sst xmlns="http://schemas.openxmlformats.org/spreadsheetml/2006/main" count="140" uniqueCount="86">
  <si>
    <t>Spot Days</t>
  </si>
  <si>
    <t>Manual Input</t>
  </si>
  <si>
    <t>Static Data</t>
  </si>
  <si>
    <t>Key</t>
  </si>
  <si>
    <t>Type</t>
  </si>
  <si>
    <t>Tenor</t>
  </si>
  <si>
    <t>Trade</t>
  </si>
  <si>
    <t>Spot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</si>
  <si>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</si>
  <si>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</si>
  <si>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</si>
  <si>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</si>
  <si>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</si>
  <si>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</si>
  <si>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</si>
  <si>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</si>
  <si>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</si>
  <si>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</si>
  <si>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</si>
  <si>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</si>
  <si>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</si>
  <si>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</si>
  <si>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</si>
  <si>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</si>
  <si>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</si>
  <si>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</si>
  <si>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</si>
  <si>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</si>
  <si>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Depo</t>
  </si>
  <si>
    <t>Swap</t>
  </si>
  <si>
    <t>Months</t>
  </si>
  <si>
    <t>Rates</t>
  </si>
  <si>
    <t>Date</t>
  </si>
  <si>
    <t>Zero Rate</t>
  </si>
  <si>
    <t>Coupon</t>
  </si>
  <si>
    <t>Difference</t>
  </si>
  <si>
    <t>Goalseek Changing Cell</t>
  </si>
  <si>
    <t>Trade Date</t>
  </si>
  <si>
    <t>Goalseek Target Cell</t>
  </si>
  <si>
    <t>Spot Date</t>
  </si>
  <si>
    <t>Test Against Benchmark</t>
  </si>
  <si>
    <t>Instructions</t>
  </si>
  <si>
    <t>1. Enter the trade date</t>
  </si>
  <si>
    <t>3. Click the bootstrap button</t>
  </si>
  <si>
    <t>Yield Curve Bootstrap based on ISDA CDS standard Model</t>
  </si>
  <si>
    <t>Goal Seek</t>
  </si>
  <si>
    <t>2. Enter the market data for all depos and swaps.</t>
  </si>
  <si>
    <t xml:space="preserve">    Data can be downloaded from https://www.markit.com/news/InterestRates_CCY_yyyymmdd.zip</t>
  </si>
  <si>
    <t>Status</t>
  </si>
  <si>
    <t>Excel Code</t>
  </si>
  <si>
    <t>Act/Act</t>
  </si>
  <si>
    <t>Act/360</t>
  </si>
  <si>
    <t>Act/365</t>
  </si>
  <si>
    <t>30/360 EU</t>
  </si>
  <si>
    <t>30/360 US</t>
  </si>
  <si>
    <t>Curve Dates</t>
  </si>
  <si>
    <t>Product</t>
  </si>
  <si>
    <t>DCC</t>
  </si>
  <si>
    <t>Code</t>
  </si>
  <si>
    <t>Zero</t>
  </si>
  <si>
    <t>DCC Codes</t>
  </si>
  <si>
    <t>Unadjusted</t>
  </si>
  <si>
    <t>Discount</t>
  </si>
  <si>
    <t>Factor</t>
  </si>
  <si>
    <t>Previous</t>
  </si>
  <si>
    <t>Node</t>
  </si>
  <si>
    <t>Number</t>
  </si>
  <si>
    <t>Year</t>
  </si>
  <si>
    <t>Fraction</t>
  </si>
  <si>
    <t>Next</t>
  </si>
  <si>
    <t>DF</t>
  </si>
  <si>
    <t>PV of unit</t>
  </si>
  <si>
    <t>Resultant</t>
  </si>
  <si>
    <t>Swap PV</t>
  </si>
  <si>
    <t>Benchmark</t>
  </si>
  <si>
    <t/>
  </si>
  <si>
    <t>Calculations</t>
  </si>
  <si>
    <t>Output</t>
  </si>
  <si>
    <t>Final Curve</t>
  </si>
  <si>
    <t>Output Validation</t>
  </si>
  <si>
    <t>Swap Coupons</t>
  </si>
  <si>
    <t>Curve</t>
  </si>
  <si>
    <t>Market Data</t>
  </si>
  <si>
    <t>Curve Day-count Conventions</t>
  </si>
  <si>
    <t>Inputs and Static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</si>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</sst>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mmmyy"/>
    <numFmt numFmtId="165" formatCode="0.0000####%"/>
    <numFmt numFmtId="166" formatCode="0.000000"/>
    <numFmt numFmtId="167" formatCode="0.0000%"/>
    <numFmt numFmtId="168" formatCode="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onsolas"/>
      <family val="3"/>
    </font>
    <font>
      <sz val="11"/>
      <name val="Calibri"/>
      <family val="2"/>
      <scheme val="minor"/>
    </font>
    <font>
      <b/>
      <sz val="11"/>
      <color theme="1"/>
      <name val="Consolas"/>
      <family val="3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/>
      <top/>
      <bottom style="thin">
        <color rgb="FF0070C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164" fontId="1" fillId="2" borderId="0" xfId="0" applyNumberFormat="1" applyFont="1" applyFill="1"/>
    <xf numFmtId="0" fontId="0" fillId="3" borderId="0" xfId="0" applyFill="1"/>
    <xf numFmtId="0" fontId="0" fillId="2" borderId="0" xfId="0" applyFill="1"/>
    <xf numFmtId="165" fontId="0" fillId="2" borderId="0" xfId="1" applyNumberFormat="1" applyFont="1" applyFill="1"/>
    <xf numFmtId="0" fontId="0" fillId="4" borderId="0" xfId="0" applyNumberFormat="1" applyFill="1"/>
    <xf numFmtId="166" fontId="0" fillId="2" borderId="0" xfId="0" applyNumberFormat="1" applyFill="1"/>
    <xf numFmtId="0" fontId="0" fillId="4" borderId="0" xfId="0" applyFill="1"/>
    <xf numFmtId="164" fontId="1" fillId="6" borderId="0" xfId="0" applyNumberFormat="1" applyFont="1" applyFill="1"/>
    <xf numFmtId="0" fontId="0" fillId="6" borderId="0" xfId="0" applyFill="1"/>
    <xf numFmtId="0" fontId="0" fillId="6" borderId="0" xfId="0" applyNumberFormat="1" applyFill="1"/>
    <xf numFmtId="0" fontId="0" fillId="6" borderId="0" xfId="0" applyFill="1" applyAlignment="1">
      <alignment wrapText="1"/>
    </xf>
    <xf numFmtId="0" fontId="3" fillId="6" borderId="1" xfId="0" applyFont="1" applyFill="1" applyBorder="1" applyAlignment="1">
      <alignment horizontal="right"/>
    </xf>
    <xf numFmtId="0" fontId="3" fillId="6" borderId="0" xfId="0" applyFont="1" applyFill="1"/>
    <xf numFmtId="166" fontId="0" fillId="6" borderId="0" xfId="0" applyNumberFormat="1" applyFill="1"/>
    <xf numFmtId="0" fontId="0" fillId="5" borderId="0" xfId="0" applyFill="1"/>
    <xf numFmtId="0" fontId="0" fillId="6" borderId="0" xfId="0" applyFont="1" applyFill="1"/>
    <xf numFmtId="164" fontId="4" fillId="6" borderId="0" xfId="0" applyNumberFormat="1" applyFont="1" applyFill="1" applyBorder="1"/>
    <xf numFmtId="166" fontId="5" fillId="6" borderId="0" xfId="0" applyNumberFormat="1" applyFont="1" applyFill="1" applyBorder="1"/>
    <xf numFmtId="164" fontId="4" fillId="6" borderId="2" xfId="0" applyNumberFormat="1" applyFont="1" applyFill="1" applyBorder="1"/>
    <xf numFmtId="166" fontId="5" fillId="6" borderId="2" xfId="0" applyNumberFormat="1" applyFont="1" applyFill="1" applyBorder="1"/>
    <xf numFmtId="166" fontId="5" fillId="6" borderId="3" xfId="0" applyNumberFormat="1" applyFont="1" applyFill="1" applyBorder="1"/>
    <xf numFmtId="0" fontId="0" fillId="7" borderId="0" xfId="0" applyFill="1"/>
    <xf numFmtId="0" fontId="0" fillId="7" borderId="2" xfId="0" applyFill="1" applyBorder="1"/>
    <xf numFmtId="0" fontId="3" fillId="7" borderId="0" xfId="0" applyFont="1" applyFill="1"/>
    <xf numFmtId="167" fontId="0" fillId="6" borderId="0" xfId="1" applyNumberFormat="1" applyFont="1" applyFill="1"/>
    <xf numFmtId="0" fontId="3" fillId="7" borderId="2" xfId="0" applyFont="1" applyFill="1" applyBorder="1"/>
    <xf numFmtId="166" fontId="0" fillId="5" borderId="0" xfId="0" applyNumberFormat="1" applyFill="1"/>
    <xf numFmtId="168" fontId="0" fillId="6" borderId="0" xfId="0" applyNumberFormat="1" applyFill="1"/>
    <xf numFmtId="0" fontId="0" fillId="6" borderId="1" xfId="0" applyFill="1" applyBorder="1"/>
    <xf numFmtId="0" fontId="3" fillId="6" borderId="1" xfId="0" applyFont="1" applyFill="1" applyBorder="1"/>
    <xf numFmtId="164" fontId="6" fillId="6" borderId="1" xfId="0" applyNumberFormat="1" applyFont="1" applyFill="1" applyBorder="1"/>
    <xf numFmtId="0" fontId="3" fillId="6" borderId="0" xfId="0" applyFont="1" applyFill="1" applyAlignment="1">
      <alignment horizontal="right"/>
    </xf>
    <xf numFmtId="0" fontId="3" fillId="6" borderId="1" xfId="0" applyFont="1" applyFill="1" applyBorder="1" applyAlignment="1">
      <alignment horizontal="left"/>
    </xf>
    <xf numFmtId="0" fontId="7" fillId="6" borderId="4" xfId="0" applyFont="1" applyFill="1" applyBorder="1"/>
    <xf numFmtId="0" fontId="0" fillId="6" borderId="4" xfId="0" applyFill="1" applyBorder="1"/>
    <xf numFmtId="0" fontId="8" fillId="6" borderId="4" xfId="0" applyFont="1" applyFill="1" applyBorder="1"/>
    <xf numFmtId="0" fontId="0" fillId="7" borderId="0" xfId="0" applyFont="1" applyFill="1"/>
    <xf numFmtId="165" fontId="0" fillId="6" borderId="0" xfId="1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201707</xdr:colOff>
      <xdr:row>2</xdr:row>
      <xdr:rowOff>168087</xdr:rowOff>
    </xdr:from>
    <xdr:to>
      <xdr:col>16</xdr:col>
      <xdr:colOff>324971</xdr:colOff>
      <xdr:row>6</xdr:row>
      <xdr:rowOff>56028</xdr:rowOff>
    </xdr:to>
    <xdr:sp macro="[0]!Bootstrap" textlink="">
      <xdr:nvSpPr>
        <xdr:cNvPr id="3" name="Rectangle: Beveled 2">
          <a:extLst>
            <a:ext uri="{FF2B5EF4-FFF2-40B4-BE49-F238E27FC236}">
              <a16:creationId xmlns:a16="http://schemas.microsoft.com/office/drawing/2014/main" id="{84D26674-E25D-495F-A761-F4354B57E6FE}"/>
            </a:ext>
          </a:extLst>
        </xdr:cNvPr>
        <xdr:cNvSpPr/>
      </xdr:nvSpPr>
      <xdr:spPr>
        <a:xfrm>
          <a:off x="6925236" y="795616"/>
          <a:ext cx="1367117" cy="649941"/>
        </a:xfrm>
        <a:prstGeom prst="bevel">
          <a:avLst/>
        </a:prstGeom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500"/>
            <a:t>Bootstrap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L79"/>
  <sheetViews>
    <sheetView tabSelected="1" zoomScale="85" zoomScaleNormal="85" workbookViewId="0">
      <selection activeCell="S32" sqref="S32"/>
    </sheetView>
  </sheetViews>
  <sheetFormatPr defaultRowHeight="15" x14ac:dyDescent="0.25"/>
  <cols>
    <col min="1" max="1" width="3.85546875" style="9" customWidth="1"/>
    <col min="2" max="2" width="11.28515625" style="9" customWidth="1"/>
    <col min="3" max="3" width="9.85546875" style="9" bestFit="1" customWidth="1"/>
    <col min="4" max="4" width="5.5703125" style="9" bestFit="1" customWidth="1"/>
    <col min="5" max="5" width="3.5703125" style="9" customWidth="1"/>
    <col min="6" max="6" width="7.42578125" style="9" customWidth="1"/>
    <col min="7" max="7" width="6.42578125" style="9" bestFit="1" customWidth="1"/>
    <col min="8" max="8" width="8.140625" style="9" bestFit="1" customWidth="1"/>
    <col min="9" max="9" width="3.5703125" style="9" customWidth="1"/>
    <col min="10" max="10" width="7.42578125" style="9" bestFit="1" customWidth="1"/>
    <col min="11" max="11" width="11.28515625" style="9" customWidth="1"/>
    <col min="12" max="12" width="9.42578125" style="9" bestFit="1" customWidth="1"/>
    <col min="13" max="13" width="9.7109375" style="9" customWidth="1"/>
    <col min="14" max="14" width="3.5703125" style="9" customWidth="1"/>
    <col min="15" max="15" width="7.42578125" style="9" customWidth="1"/>
    <col min="16" max="16" width="11.28515625" style="9" bestFit="1" customWidth="1"/>
    <col min="17" max="17" width="9.42578125" style="9" bestFit="1" customWidth="1"/>
    <col min="18" max="18" width="8.7109375" style="9" bestFit="1" customWidth="1"/>
    <col min="19" max="19" width="8.7109375" style="9" customWidth="1"/>
    <col min="20" max="20" width="11" style="9" customWidth="1"/>
    <col min="21" max="21" width="11.28515625" style="9" customWidth="1"/>
    <col min="22" max="22" width="11.5703125" style="9" customWidth="1"/>
    <col min="23" max="23" width="8.7109375" style="9" customWidth="1"/>
    <col min="24" max="25" width="12.28515625" style="9" bestFit="1" customWidth="1"/>
    <col min="26" max="26" width="3.85546875" style="9" customWidth="1"/>
    <col min="27" max="27" width="6.5703125" style="9" customWidth="1"/>
    <col min="28" max="28" width="9.42578125" style="9" bestFit="1" customWidth="1"/>
    <col min="29" max="29" width="8.140625" style="9" bestFit="1" customWidth="1"/>
    <col min="30" max="30" width="11.28515625" style="9" bestFit="1" customWidth="1"/>
    <col min="31" max="31" width="8.7109375" style="9" bestFit="1" customWidth="1"/>
    <col min="32" max="32" width="3.85546875" style="9" customWidth="1"/>
    <col min="33" max="33" width="10.28515625" style="9" customWidth="1"/>
    <col min="34" max="34" width="9.7109375" style="9" customWidth="1"/>
    <col min="35" max="35" width="8.7109375" style="9" bestFit="1" customWidth="1"/>
    <col min="36" max="36" width="4.85546875" style="9" customWidth="1"/>
    <col min="37" max="37" width="10.85546875" style="9" bestFit="1" customWidth="1"/>
    <col min="38" max="38" width="12.85546875" style="9" bestFit="1" customWidth="1"/>
    <col min="39" max="39" width="12.28515625" style="9" bestFit="1" customWidth="1"/>
    <col min="40" max="16384" width="9.140625" style="9"/>
  </cols>
  <sheetData>
    <row r="1" spans="2:38" s="23" customFormat="1" ht="34.5" customHeight="1" x14ac:dyDescent="0.25">
      <c r="B1" s="26" t="s">
        <v>44</v>
      </c>
    </row>
    <row r="3" spans="2:38" x14ac:dyDescent="0.25">
      <c r="B3" s="13" t="s">
        <v>41</v>
      </c>
      <c r="R3" s="13" t="s">
        <v>3</v>
      </c>
    </row>
    <row r="4" spans="2:38" x14ac:dyDescent="0.25">
      <c r="B4" s="9" t="s">
        <v>42</v>
      </c>
      <c r="R4" s="3" t="s">
        <v>1</v>
      </c>
      <c r="S4" s="3"/>
    </row>
    <row r="5" spans="2:38" x14ac:dyDescent="0.25">
      <c r="B5" s="9" t="s">
        <v>46</v>
      </c>
      <c r="R5" s="2" t="s">
        <v>2</v>
      </c>
      <c r="S5" s="2"/>
    </row>
    <row r="6" spans="2:38" x14ac:dyDescent="0.25">
      <c r="B6" s="9" t="s">
        <v>47</v>
      </c>
      <c r="R6" s="15" t="s">
        <v>36</v>
      </c>
      <c r="S6" s="15"/>
    </row>
    <row r="7" spans="2:38" x14ac:dyDescent="0.25">
      <c r="B7" s="9" t="s">
        <v>43</v>
      </c>
      <c r="R7" s="7" t="s">
        <v>38</v>
      </c>
      <c r="S7" s="7"/>
    </row>
    <row r="9" spans="2:38" x14ac:dyDescent="0.25">
      <c r="B9" s="13" t="s">
        <v>48</v>
      </c>
      <c r="M9" s="10"/>
    </row>
    <row r="10" spans="2:38" x14ac:dyDescent="0.25">
      <c r="B10" s="9" t="str">
        <f>IF(ABS(SUM(SwapPVs))&lt;=10^-16,"OK","WARNING: Curve is not calibrated, press Bootstrap")</f>
        <v>OK</v>
      </c>
    </row>
    <row r="11" spans="2:38" s="29" customFormat="1" x14ac:dyDescent="0.25"/>
    <row r="13" spans="2:38" x14ac:dyDescent="0.25">
      <c r="B13" s="34" t="s">
        <v>84</v>
      </c>
      <c r="C13" s="36"/>
      <c r="D13" s="36"/>
      <c r="E13" s="36"/>
      <c r="F13" s="36"/>
      <c r="G13" s="36"/>
      <c r="H13" s="36"/>
      <c r="J13" s="34" t="s">
        <v>76</v>
      </c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G13" s="34" t="s">
        <v>77</v>
      </c>
      <c r="AH13" s="36"/>
      <c r="AI13" s="36"/>
      <c r="AK13" s="34" t="s">
        <v>79</v>
      </c>
      <c r="AL13" s="34"/>
    </row>
    <row r="15" spans="2:38" x14ac:dyDescent="0.25">
      <c r="B15" s="24" t="s">
        <v>55</v>
      </c>
      <c r="C15" s="24"/>
      <c r="D15" s="11"/>
      <c r="F15" s="24" t="s">
        <v>82</v>
      </c>
      <c r="G15" s="22"/>
      <c r="H15" s="22"/>
      <c r="J15" s="24" t="s">
        <v>81</v>
      </c>
      <c r="K15" s="22"/>
      <c r="L15" s="22"/>
      <c r="M15" s="22"/>
      <c r="O15" s="24" t="s">
        <v>80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AA15" s="24" t="s">
        <v>45</v>
      </c>
      <c r="AB15" s="24"/>
      <c r="AC15" s="24"/>
      <c r="AD15" s="22"/>
      <c r="AE15" s="22"/>
      <c r="AG15" s="24" t="s">
        <v>78</v>
      </c>
      <c r="AH15" s="22"/>
      <c r="AI15" s="22"/>
      <c r="AK15" s="24" t="s">
        <v>40</v>
      </c>
      <c r="AL15" s="22"/>
    </row>
    <row r="16" spans="2:38" s="13" customFormat="1" x14ac:dyDescent="0.25">
      <c r="B16" s="16" t="s">
        <v>37</v>
      </c>
      <c r="C16" s="1">
        <v>40063</v>
      </c>
      <c r="D16" s="9"/>
      <c r="O16" s="32"/>
      <c r="P16" s="32"/>
      <c r="Q16" s="32"/>
      <c r="R16" s="32"/>
      <c r="S16" s="32" t="s">
        <v>64</v>
      </c>
      <c r="T16" s="32" t="s">
        <v>64</v>
      </c>
      <c r="U16" s="32" t="s">
        <v>69</v>
      </c>
      <c r="V16" s="32" t="s">
        <v>64</v>
      </c>
      <c r="W16" s="32" t="s">
        <v>69</v>
      </c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 t="s">
        <v>74</v>
      </c>
      <c r="AL16" s="32"/>
    </row>
    <row r="17" spans="2:38" s="13" customFormat="1" x14ac:dyDescent="0.25">
      <c r="B17" s="16" t="s">
        <v>0</v>
      </c>
      <c r="C17" s="2">
        <v>2</v>
      </c>
      <c r="D17" s="9"/>
      <c r="K17" s="32" t="s">
        <v>61</v>
      </c>
      <c r="M17" s="32" t="s">
        <v>62</v>
      </c>
      <c r="O17" s="32"/>
      <c r="P17" s="32" t="s">
        <v>61</v>
      </c>
      <c r="Q17" s="32"/>
      <c r="R17" s="32" t="s">
        <v>67</v>
      </c>
      <c r="S17" s="32" t="s">
        <v>65</v>
      </c>
      <c r="T17" s="32" t="s">
        <v>65</v>
      </c>
      <c r="U17" s="32" t="s">
        <v>65</v>
      </c>
      <c r="V17" s="32" t="s">
        <v>65</v>
      </c>
      <c r="W17" s="32" t="s">
        <v>65</v>
      </c>
      <c r="X17" s="32" t="s">
        <v>62</v>
      </c>
      <c r="Y17" s="32" t="s">
        <v>71</v>
      </c>
      <c r="Z17" s="32"/>
      <c r="AA17" s="32"/>
      <c r="AB17" s="32"/>
      <c r="AC17" s="32"/>
      <c r="AD17" s="32" t="s">
        <v>62</v>
      </c>
      <c r="AE17" s="32" t="s">
        <v>72</v>
      </c>
      <c r="AF17" s="32"/>
      <c r="AG17" s="32"/>
      <c r="AH17" s="32"/>
      <c r="AI17" s="32" t="s">
        <v>62</v>
      </c>
      <c r="AJ17" s="32"/>
      <c r="AK17" s="32" t="s">
        <v>62</v>
      </c>
      <c r="AL17" s="32"/>
    </row>
    <row r="18" spans="2:38" s="13" customFormat="1" x14ac:dyDescent="0.25">
      <c r="B18" s="16" t="s">
        <v>39</v>
      </c>
      <c r="C18" s="8">
        <f>WORKDAY(TradeDate,SpotDays)</f>
        <v>40065</v>
      </c>
      <c r="D18" s="9"/>
      <c r="F18" s="30" t="s">
        <v>4</v>
      </c>
      <c r="G18" s="30" t="s">
        <v>5</v>
      </c>
      <c r="H18" s="30" t="s">
        <v>31</v>
      </c>
      <c r="I18" s="13" t="s">
        <v>75</v>
      </c>
      <c r="J18" s="30" t="s">
        <v>30</v>
      </c>
      <c r="K18" s="12" t="s">
        <v>32</v>
      </c>
      <c r="L18" s="12" t="s">
        <v>32</v>
      </c>
      <c r="M18" s="32" t="s">
        <v>63</v>
      </c>
      <c r="N18" s="13" t="s">
        <v>75</v>
      </c>
      <c r="O18" s="12" t="s">
        <v>34</v>
      </c>
      <c r="P18" s="12" t="s">
        <v>32</v>
      </c>
      <c r="Q18" s="12" t="s">
        <v>32</v>
      </c>
      <c r="R18" s="12" t="s">
        <v>68</v>
      </c>
      <c r="S18" s="12" t="s">
        <v>66</v>
      </c>
      <c r="T18" s="12" t="s">
        <v>32</v>
      </c>
      <c r="U18" s="12" t="s">
        <v>32</v>
      </c>
      <c r="V18" s="12" t="s">
        <v>70</v>
      </c>
      <c r="W18" s="12" t="s">
        <v>70</v>
      </c>
      <c r="X18" s="12" t="s">
        <v>63</v>
      </c>
      <c r="Y18" s="12" t="s">
        <v>34</v>
      </c>
      <c r="Z18" s="32" t="s">
        <v>75</v>
      </c>
      <c r="AA18" s="33" t="s">
        <v>29</v>
      </c>
      <c r="AB18" s="33" t="s">
        <v>32</v>
      </c>
      <c r="AC18" s="33" t="s">
        <v>85</v>
      </c>
      <c r="AD18" s="12" t="s">
        <v>63</v>
      </c>
      <c r="AE18" s="12" t="s">
        <v>73</v>
      </c>
      <c r="AF18" s="32" t="s">
        <v>75</v>
      </c>
      <c r="AG18" s="12" t="s">
        <v>32</v>
      </c>
      <c r="AH18" s="12" t="s">
        <v>33</v>
      </c>
      <c r="AI18" s="12" t="s">
        <v>63</v>
      </c>
      <c r="AJ18" s="32" t="s">
        <v>75</v>
      </c>
      <c r="AK18" s="12" t="s">
        <v>63</v>
      </c>
      <c r="AL18" s="12" t="s">
        <v>35</v>
      </c>
    </row>
    <row r="19" spans="2:38" x14ac:dyDescent="0.25">
      <c r="G19" s="16" t="s">
        <v>6</v>
      </c>
      <c r="L19" s="19">
        <f>TradeDate</f>
        <v>40063</v>
      </c>
      <c r="M19" s="21">
        <f>GROWTH(M20:M21,L20:L21,L19)</f>
        <v>1.0000140986085198</v>
      </c>
      <c r="O19" s="9">
        <v>0</v>
      </c>
      <c r="P19" s="8">
        <f t="shared" ref="P19:P50" si="0">EDATE(SpotDate,O19*6)</f>
        <v>40065</v>
      </c>
      <c r="Q19" s="8">
        <f t="shared" ref="Q19:Q50" si="1">IF(MONTH(P19)=MONTH(WORKDAY(P19-1,1)),WORKDAY(P19-1,1),WORKDAY(P19+1,-1))</f>
        <v>40065</v>
      </c>
      <c r="AG19" s="8">
        <f t="shared" ref="AG19:AG40" si="2">L19</f>
        <v>40063</v>
      </c>
      <c r="AH19" s="25"/>
      <c r="AI19" s="14">
        <f t="shared" ref="AI19:AI40" si="3">M19</f>
        <v>1.0000140986085198</v>
      </c>
    </row>
    <row r="20" spans="2:38" x14ac:dyDescent="0.25">
      <c r="B20" s="24" t="s">
        <v>83</v>
      </c>
      <c r="C20" s="24"/>
      <c r="D20" s="24"/>
      <c r="G20" s="16" t="s">
        <v>7</v>
      </c>
      <c r="L20" s="19">
        <f>SpotDate</f>
        <v>40065</v>
      </c>
      <c r="M20" s="20">
        <v>1</v>
      </c>
      <c r="O20" s="9">
        <f t="shared" ref="O20:O51" si="4">O19+1</f>
        <v>1</v>
      </c>
      <c r="P20" s="8">
        <f t="shared" si="0"/>
        <v>40246</v>
      </c>
      <c r="Q20" s="8">
        <f t="shared" si="1"/>
        <v>40246</v>
      </c>
      <c r="R20" s="28">
        <f>YEARFRAC(Q19,Q20,SwapDCC)</f>
        <v>0.5</v>
      </c>
      <c r="S20" s="9">
        <f>MATCH(Q20-1,Nodes,1)</f>
        <v>3</v>
      </c>
      <c r="T20" s="8">
        <f t="shared" ref="T20:T51" si="5">INDEX(Nodes,S20)</f>
        <v>40156</v>
      </c>
      <c r="U20" s="8">
        <f t="shared" ref="U20:U51" si="6">INDEX(Nodes,S20+1)</f>
        <v>40246</v>
      </c>
      <c r="V20" s="14">
        <f t="shared" ref="V20:V51" si="7">INDEX(DiscountFactors,S20)</f>
        <v>0.99920589776618196</v>
      </c>
      <c r="W20" s="14">
        <f t="shared" ref="W20:W51" si="8">INDEX(DiscountFactors,S20+1)</f>
        <v>0.99643049534013062</v>
      </c>
      <c r="X20" s="9">
        <f>GROWTH(V20:W20,T20:U20,Q20)</f>
        <v>0.99643049534013073</v>
      </c>
      <c r="Y20" s="9">
        <f t="shared" ref="Y20:Y51" si="9">X20*R20</f>
        <v>0.49821524767006536</v>
      </c>
      <c r="AA20" s="9" t="str">
        <f>G27</f>
        <v>2Y</v>
      </c>
      <c r="AB20" s="8">
        <f>INDEX(Nodes,MATCH(AA20,Tenors,0))</f>
        <v>40795</v>
      </c>
      <c r="AC20" s="38">
        <f>INDEX(MarketRates,MATCH(AA20,Tenors,0))</f>
        <v>1.2957E-2</v>
      </c>
      <c r="AD20" s="27">
        <v>0.97448217312946328</v>
      </c>
      <c r="AE20" s="5">
        <f>AD20+AC20*SUMIF(CouponDates,"&lt;="&amp;AB20,CouponPVs)-1</f>
        <v>0</v>
      </c>
      <c r="AG20" s="8">
        <f t="shared" si="2"/>
        <v>40065</v>
      </c>
      <c r="AH20" s="25"/>
      <c r="AI20" s="14">
        <f t="shared" si="3"/>
        <v>1</v>
      </c>
    </row>
    <row r="21" spans="2:38" x14ac:dyDescent="0.25">
      <c r="B21" s="30" t="s">
        <v>56</v>
      </c>
      <c r="C21" s="31" t="s">
        <v>57</v>
      </c>
      <c r="D21" s="12" t="s">
        <v>58</v>
      </c>
      <c r="F21" s="9" t="s">
        <v>28</v>
      </c>
      <c r="G21" s="2" t="s">
        <v>8</v>
      </c>
      <c r="H21" s="4">
        <v>2.5379999999999999E-3</v>
      </c>
      <c r="J21" s="9">
        <f>IF(RIGHT(G21)="M",1,IF(RIGHT(G21)="Y",12,NA()))*LEFT(G21,LEN(G21)-1)</f>
        <v>1</v>
      </c>
      <c r="K21" s="8">
        <f t="shared" ref="K21:K40" si="10">EDATE(SpotDate,J21)</f>
        <v>40095</v>
      </c>
      <c r="L21" s="17">
        <f>IF(MONTH(K21)=MONTH(WORKDAY(K21-1,1)),WORKDAY(K21-1,1),WORKDAY(K21+1,-1))</f>
        <v>40095</v>
      </c>
      <c r="M21" s="18">
        <f>1/(1+H21*YEARFRAC(SpotDate,L21,DepoDCC))</f>
        <v>0.99978854472279111</v>
      </c>
      <c r="O21" s="9">
        <f t="shared" si="4"/>
        <v>2</v>
      </c>
      <c r="P21" s="8">
        <f t="shared" si="0"/>
        <v>40430</v>
      </c>
      <c r="Q21" s="8">
        <f t="shared" si="1"/>
        <v>40430</v>
      </c>
      <c r="R21" s="28">
        <f t="shared" ref="R21:R51" si="11">YEARFRAC(Q20,Q21,SwapDCC)</f>
        <v>0.5</v>
      </c>
      <c r="S21" s="9">
        <f t="shared" ref="S21:S51" si="12">MATCH(Q21-1,Nodes,1)</f>
        <v>5</v>
      </c>
      <c r="T21" s="8">
        <f t="shared" si="5"/>
        <v>40338</v>
      </c>
      <c r="U21" s="8">
        <f t="shared" si="6"/>
        <v>40430</v>
      </c>
      <c r="V21" s="14">
        <f t="shared" si="7"/>
        <v>0.99227732881225328</v>
      </c>
      <c r="W21" s="14">
        <f t="shared" si="8"/>
        <v>0.98710845948796511</v>
      </c>
      <c r="X21" s="9">
        <f t="shared" ref="X21:X79" si="13">GROWTH(V21:W21,T21:U21,Q21)</f>
        <v>0.987108459487965</v>
      </c>
      <c r="Y21" s="9">
        <f t="shared" si="9"/>
        <v>0.4935542297439825</v>
      </c>
      <c r="AA21" s="9" t="str">
        <f>G28</f>
        <v>3Y</v>
      </c>
      <c r="AB21" s="8">
        <f>INDEX(Nodes,MATCH(AA21,Tenors,0))</f>
        <v>41162</v>
      </c>
      <c r="AC21" s="38">
        <f>INDEX(MarketRates,MATCH(AA21,Tenors,0))</f>
        <v>1.9209E-2</v>
      </c>
      <c r="AD21" s="27">
        <v>0.94384154854659574</v>
      </c>
      <c r="AE21" s="5">
        <f>AD21+AC21*SUMIF(CouponDates,"&lt;="&amp;AB21,CouponPVs)-1</f>
        <v>0</v>
      </c>
      <c r="AG21" s="8">
        <f t="shared" si="2"/>
        <v>40095</v>
      </c>
      <c r="AH21" s="25">
        <f t="shared" ref="AH21:AH40" si="14">AI21^(-1/YEARFRAC(SpotDate,AG21,ZeroDCC))-1</f>
        <v>2.5762908656286054E-3</v>
      </c>
      <c r="AI21" s="14">
        <f t="shared" si="3"/>
        <v>0.99978854472279111</v>
      </c>
      <c r="AK21" s="6">
        <v>0.99978854472279111</v>
      </c>
      <c r="AL21" s="9">
        <f>AK21/AI21-1</f>
        <v>0</v>
      </c>
    </row>
    <row r="22" spans="2:38" x14ac:dyDescent="0.25">
      <c r="B22" s="16" t="s">
        <v>28</v>
      </c>
      <c r="C22" s="2" t="s">
        <v>51</v>
      </c>
      <c r="D22" s="9">
        <f>INDEX(DCCCodes,MATCH(C22,DCCs,0))</f>
        <v>2</v>
      </c>
      <c r="F22" s="9" t="s">
        <v>28</v>
      </c>
      <c r="G22" s="2" t="s">
        <v>9</v>
      </c>
      <c r="H22" s="4">
        <v>2.65E-3</v>
      </c>
      <c r="J22" s="9">
        <f>IF(RIGHT(G22)="M",1,IF(RIGHT(G22)="Y",12,NA()))*LEFT(G22,LEN(G22)-1)</f>
        <v>2</v>
      </c>
      <c r="K22" s="8">
        <f t="shared" si="10"/>
        <v>40126</v>
      </c>
      <c r="L22" s="17">
        <f t="shared" ref="L22:L40" si="15">IF(MONTH(K22)=MONTH(WORKDAY(K22-1,1)),WORKDAY(K22-1,1),WORKDAY(K22+1,-1))</f>
        <v>40126</v>
      </c>
      <c r="M22" s="18">
        <f>1/(1+H22*YEARFRAC(SpotDate,L22,DepoDCC))</f>
        <v>0.99955117375767244</v>
      </c>
      <c r="O22" s="9">
        <f t="shared" si="4"/>
        <v>3</v>
      </c>
      <c r="P22" s="8">
        <f t="shared" si="0"/>
        <v>40611</v>
      </c>
      <c r="Q22" s="8">
        <f t="shared" si="1"/>
        <v>40611</v>
      </c>
      <c r="R22" s="28">
        <f t="shared" si="11"/>
        <v>0.5</v>
      </c>
      <c r="S22" s="9">
        <f t="shared" si="12"/>
        <v>6</v>
      </c>
      <c r="T22" s="8">
        <f t="shared" si="5"/>
        <v>40430</v>
      </c>
      <c r="U22" s="8">
        <f t="shared" si="6"/>
        <v>40795</v>
      </c>
      <c r="V22" s="14">
        <f t="shared" si="7"/>
        <v>0.98710845948796511</v>
      </c>
      <c r="W22" s="14">
        <f t="shared" si="8"/>
        <v>0.97448217312946328</v>
      </c>
      <c r="X22" s="9">
        <f t="shared" si="13"/>
        <v>0.98082688786969785</v>
      </c>
      <c r="Y22" s="9">
        <f t="shared" si="9"/>
        <v>0.49041344393484892</v>
      </c>
      <c r="AA22" s="9" t="str">
        <f>G29</f>
        <v>4Y</v>
      </c>
      <c r="AB22" s="8">
        <f>INDEX(Nodes,MATCH(AA22,Tenors,0))</f>
        <v>41526</v>
      </c>
      <c r="AC22" s="38">
        <f>INDEX(MarketRates,MATCH(AA22,Tenors,0))</f>
        <v>2.3831999999999999E-2</v>
      </c>
      <c r="AD22" s="27">
        <v>0.90852459779052486</v>
      </c>
      <c r="AE22" s="5">
        <f>AD22+AC22*SUMIF(CouponDates,"&lt;="&amp;AB22,CouponPVs)-1</f>
        <v>0</v>
      </c>
      <c r="AG22" s="8">
        <f t="shared" si="2"/>
        <v>40126</v>
      </c>
      <c r="AH22" s="25">
        <f t="shared" si="14"/>
        <v>2.6898135855073502E-3</v>
      </c>
      <c r="AI22" s="14">
        <f t="shared" si="3"/>
        <v>0.99955117375767244</v>
      </c>
      <c r="AK22" s="6">
        <v>0.99955117375767244</v>
      </c>
      <c r="AL22" s="9">
        <f t="shared" ref="AL22:AL40" si="16">AK22/AI22-1</f>
        <v>0</v>
      </c>
    </row>
    <row r="23" spans="2:38" x14ac:dyDescent="0.25">
      <c r="B23" s="16" t="s">
        <v>29</v>
      </c>
      <c r="C23" s="2" t="s">
        <v>54</v>
      </c>
      <c r="D23" s="9">
        <f>INDEX(DCCCodes,MATCH(C23,DCCs,0))</f>
        <v>0</v>
      </c>
      <c r="F23" s="9" t="s">
        <v>28</v>
      </c>
      <c r="G23" s="2" t="s">
        <v>10</v>
      </c>
      <c r="H23" s="4">
        <v>3.1440000000000001E-3</v>
      </c>
      <c r="J23" s="9">
        <f>IF(RIGHT(G23)="M",1,IF(RIGHT(G23)="Y",12,NA()))*LEFT(G23,LEN(G23)-1)</f>
        <v>3</v>
      </c>
      <c r="K23" s="8">
        <f t="shared" si="10"/>
        <v>40156</v>
      </c>
      <c r="L23" s="17">
        <f t="shared" si="15"/>
        <v>40156</v>
      </c>
      <c r="M23" s="18">
        <f>1/(1+H23*YEARFRAC(SpotDate,L23,DepoDCC))</f>
        <v>0.99920589776618196</v>
      </c>
      <c r="O23" s="9">
        <f t="shared" si="4"/>
        <v>4</v>
      </c>
      <c r="P23" s="8">
        <f t="shared" si="0"/>
        <v>40795</v>
      </c>
      <c r="Q23" s="8">
        <f t="shared" si="1"/>
        <v>40795</v>
      </c>
      <c r="R23" s="28">
        <f t="shared" si="11"/>
        <v>0.5</v>
      </c>
      <c r="S23" s="9">
        <f t="shared" si="12"/>
        <v>6</v>
      </c>
      <c r="T23" s="8">
        <f t="shared" si="5"/>
        <v>40430</v>
      </c>
      <c r="U23" s="8">
        <f t="shared" si="6"/>
        <v>40795</v>
      </c>
      <c r="V23" s="14">
        <f t="shared" si="7"/>
        <v>0.98710845948796511</v>
      </c>
      <c r="W23" s="14">
        <f t="shared" si="8"/>
        <v>0.97448217312946328</v>
      </c>
      <c r="X23" s="9">
        <f t="shared" si="13"/>
        <v>0.9744821731294635</v>
      </c>
      <c r="Y23" s="9">
        <f t="shared" si="9"/>
        <v>0.48724108656473175</v>
      </c>
      <c r="AA23" s="9" t="str">
        <f>G30</f>
        <v>5Y</v>
      </c>
      <c r="AB23" s="8">
        <f>INDEX(Nodes,MATCH(AA23,Tenors,0))</f>
        <v>41891</v>
      </c>
      <c r="AC23" s="38">
        <f>INDEX(MarketRates,MATCH(AA23,Tenors,0))</f>
        <v>2.7487999999999999E-2</v>
      </c>
      <c r="AD23" s="27">
        <v>0.87030664586312967</v>
      </c>
      <c r="AE23" s="5">
        <f>AD23+AC23*SUMIF(CouponDates,"&lt;="&amp;AB23,CouponPVs)-1</f>
        <v>0</v>
      </c>
      <c r="AG23" s="8">
        <f t="shared" si="2"/>
        <v>40156</v>
      </c>
      <c r="AH23" s="25">
        <f t="shared" si="14"/>
        <v>3.1914826357972714E-3</v>
      </c>
      <c r="AI23" s="14">
        <f t="shared" si="3"/>
        <v>0.99920589776618196</v>
      </c>
      <c r="AK23" s="6">
        <v>0.99920589776618196</v>
      </c>
      <c r="AL23" s="9">
        <f t="shared" si="16"/>
        <v>0</v>
      </c>
    </row>
    <row r="24" spans="2:38" x14ac:dyDescent="0.25">
      <c r="B24" s="16" t="s">
        <v>59</v>
      </c>
      <c r="C24" s="2" t="s">
        <v>52</v>
      </c>
      <c r="D24" s="9">
        <f>INDEX(DCCCodes,MATCH(C24,DCCs,0))</f>
        <v>3</v>
      </c>
      <c r="F24" s="9" t="s">
        <v>28</v>
      </c>
      <c r="G24" s="2" t="s">
        <v>11</v>
      </c>
      <c r="H24" s="4">
        <v>7.1250000000000003E-3</v>
      </c>
      <c r="J24" s="9">
        <f>IF(RIGHT(G24)="M",1,IF(RIGHT(G24)="Y",12,NA()))*LEFT(G24,LEN(G24)-1)</f>
        <v>6</v>
      </c>
      <c r="K24" s="8">
        <f t="shared" si="10"/>
        <v>40246</v>
      </c>
      <c r="L24" s="17">
        <f t="shared" si="15"/>
        <v>40246</v>
      </c>
      <c r="M24" s="18">
        <f>1/(1+H24*YEARFRAC(SpotDate,L24,DepoDCC))</f>
        <v>0.99643049534013062</v>
      </c>
      <c r="O24" s="9">
        <f t="shared" si="4"/>
        <v>5</v>
      </c>
      <c r="P24" s="8">
        <f t="shared" si="0"/>
        <v>40977</v>
      </c>
      <c r="Q24" s="8">
        <f t="shared" si="1"/>
        <v>40977</v>
      </c>
      <c r="R24" s="28">
        <f t="shared" si="11"/>
        <v>0.5</v>
      </c>
      <c r="S24" s="9">
        <f t="shared" si="12"/>
        <v>7</v>
      </c>
      <c r="T24" s="8">
        <f t="shared" si="5"/>
        <v>40795</v>
      </c>
      <c r="U24" s="8">
        <f t="shared" si="6"/>
        <v>41162</v>
      </c>
      <c r="V24" s="14">
        <f t="shared" si="7"/>
        <v>0.97448217312946328</v>
      </c>
      <c r="W24" s="14">
        <f t="shared" si="8"/>
        <v>0.94384154854659574</v>
      </c>
      <c r="X24" s="9">
        <f t="shared" si="13"/>
        <v>0.95916473740584141</v>
      </c>
      <c r="Y24" s="9">
        <f t="shared" si="9"/>
        <v>0.4795823687029207</v>
      </c>
      <c r="AA24" s="9" t="str">
        <f>G31</f>
        <v>6Y</v>
      </c>
      <c r="AB24" s="8">
        <f>INDEX(Nodes,MATCH(AA24,Tenors,0))</f>
        <v>42256</v>
      </c>
      <c r="AC24" s="38">
        <f>INDEX(MarketRates,MATCH(AA24,Tenors,0))</f>
        <v>3.0217000000000001E-2</v>
      </c>
      <c r="AD24" s="27">
        <v>0.83200164875320648</v>
      </c>
      <c r="AE24" s="5">
        <f>AD24+AC24*SUMIF(CouponDates,"&lt;="&amp;AB24,CouponPVs)-1</f>
        <v>0</v>
      </c>
      <c r="AG24" s="8">
        <f t="shared" si="2"/>
        <v>40246</v>
      </c>
      <c r="AH24" s="25">
        <f t="shared" si="14"/>
        <v>7.2371122175682867E-3</v>
      </c>
      <c r="AI24" s="14">
        <f t="shared" si="3"/>
        <v>0.99643049534013062</v>
      </c>
      <c r="AK24" s="6">
        <v>0.99643049534013062</v>
      </c>
      <c r="AL24" s="9">
        <f t="shared" si="16"/>
        <v>0</v>
      </c>
    </row>
    <row r="25" spans="2:38" x14ac:dyDescent="0.25">
      <c r="F25" s="9" t="s">
        <v>28</v>
      </c>
      <c r="G25" s="2" t="s">
        <v>12</v>
      </c>
      <c r="H25" s="4">
        <v>1.0263E-2</v>
      </c>
      <c r="J25" s="9">
        <f>IF(RIGHT(G25)="M",1,IF(RIGHT(G25)="Y",12,NA()))*LEFT(G25,LEN(G25)-1)</f>
        <v>9</v>
      </c>
      <c r="K25" s="8">
        <f t="shared" si="10"/>
        <v>40338</v>
      </c>
      <c r="L25" s="17">
        <f t="shared" si="15"/>
        <v>40338</v>
      </c>
      <c r="M25" s="18">
        <f>1/(1+H25*YEARFRAC(SpotDate,L25,DepoDCC))</f>
        <v>0.99227732881225328</v>
      </c>
      <c r="O25" s="9">
        <f t="shared" si="4"/>
        <v>6</v>
      </c>
      <c r="P25" s="8">
        <f t="shared" si="0"/>
        <v>41161</v>
      </c>
      <c r="Q25" s="8">
        <f t="shared" si="1"/>
        <v>41162</v>
      </c>
      <c r="R25" s="28">
        <f t="shared" si="11"/>
        <v>0.50277777777777777</v>
      </c>
      <c r="S25" s="9">
        <f t="shared" si="12"/>
        <v>7</v>
      </c>
      <c r="T25" s="8">
        <f t="shared" si="5"/>
        <v>40795</v>
      </c>
      <c r="U25" s="8">
        <f t="shared" si="6"/>
        <v>41162</v>
      </c>
      <c r="V25" s="14">
        <f t="shared" si="7"/>
        <v>0.97448217312946328</v>
      </c>
      <c r="W25" s="14">
        <f t="shared" si="8"/>
        <v>0.94384154854659574</v>
      </c>
      <c r="X25" s="9">
        <f t="shared" si="13"/>
        <v>0.94384154854659541</v>
      </c>
      <c r="Y25" s="9">
        <f t="shared" si="9"/>
        <v>0.47454255635259379</v>
      </c>
      <c r="AA25" s="9" t="str">
        <f>G32</f>
        <v>7Y</v>
      </c>
      <c r="AB25" s="8">
        <f>INDEX(Nodes,MATCH(AA25,Tenors,0))</f>
        <v>42622</v>
      </c>
      <c r="AC25" s="38">
        <f>INDEX(MarketRates,MATCH(AA25,Tenors,0))</f>
        <v>3.2483999999999999E-2</v>
      </c>
      <c r="AD25" s="27">
        <v>0.79331553266552735</v>
      </c>
      <c r="AE25" s="5">
        <f>AD25+AC25*SUMIF(CouponDates,"&lt;="&amp;AB25,CouponPVs)-1</f>
        <v>0</v>
      </c>
      <c r="AG25" s="8">
        <f t="shared" si="2"/>
        <v>40338</v>
      </c>
      <c r="AH25" s="25">
        <f t="shared" si="14"/>
        <v>1.0419163925650121E-2</v>
      </c>
      <c r="AI25" s="14">
        <f t="shared" si="3"/>
        <v>0.99227732881225328</v>
      </c>
      <c r="AK25" s="6">
        <v>0.99227732881225339</v>
      </c>
      <c r="AL25" s="9">
        <f t="shared" si="16"/>
        <v>0</v>
      </c>
    </row>
    <row r="26" spans="2:38" x14ac:dyDescent="0.25">
      <c r="B26" s="24" t="s">
        <v>60</v>
      </c>
      <c r="C26" s="37"/>
      <c r="F26" s="9" t="s">
        <v>28</v>
      </c>
      <c r="G26" s="2" t="s">
        <v>13</v>
      </c>
      <c r="H26" s="4">
        <v>1.2881E-2</v>
      </c>
      <c r="J26" s="9">
        <f>IF(RIGHT(G26)="M",1,IF(RIGHT(G26)="Y",12,NA()))*LEFT(G26,LEN(G26)-1)</f>
        <v>12</v>
      </c>
      <c r="K26" s="8">
        <f t="shared" si="10"/>
        <v>40430</v>
      </c>
      <c r="L26" s="17">
        <f t="shared" si="15"/>
        <v>40430</v>
      </c>
      <c r="M26" s="20">
        <f>1/(1+H26*YEARFRAC(SpotDate,L26,DepoDCC))</f>
        <v>0.98710845948796511</v>
      </c>
      <c r="O26" s="9">
        <f t="shared" si="4"/>
        <v>7</v>
      </c>
      <c r="P26" s="8">
        <f t="shared" si="0"/>
        <v>41342</v>
      </c>
      <c r="Q26" s="8">
        <f t="shared" si="1"/>
        <v>41344</v>
      </c>
      <c r="R26" s="28">
        <f t="shared" si="11"/>
        <v>0.50277777777777777</v>
      </c>
      <c r="S26" s="9">
        <f t="shared" si="12"/>
        <v>8</v>
      </c>
      <c r="T26" s="8">
        <f t="shared" si="5"/>
        <v>41162</v>
      </c>
      <c r="U26" s="8">
        <f t="shared" si="6"/>
        <v>41526</v>
      </c>
      <c r="V26" s="14">
        <f t="shared" si="7"/>
        <v>0.94384154854659574</v>
      </c>
      <c r="W26" s="14">
        <f t="shared" si="8"/>
        <v>0.90852459779052486</v>
      </c>
      <c r="X26" s="9">
        <f t="shared" si="13"/>
        <v>0.92601472087180225</v>
      </c>
      <c r="Y26" s="9">
        <f t="shared" si="9"/>
        <v>0.46557962354943389</v>
      </c>
      <c r="AA26" s="9" t="str">
        <f>G33</f>
        <v>8Y</v>
      </c>
      <c r="AB26" s="8">
        <f>INDEX(Nodes,MATCH(AA26,Tenors,0))</f>
        <v>42989</v>
      </c>
      <c r="AC26" s="38">
        <f>INDEX(MarketRates,MATCH(AA26,Tenors,0))</f>
        <v>3.4039E-2</v>
      </c>
      <c r="AD26" s="27">
        <v>0.75719623874917874</v>
      </c>
      <c r="AE26" s="5">
        <f>AD26+AC26*SUMIF(CouponDates,"&lt;="&amp;AB26,CouponPVs)-1</f>
        <v>0</v>
      </c>
      <c r="AG26" s="8">
        <f t="shared" si="2"/>
        <v>40430</v>
      </c>
      <c r="AH26" s="25">
        <f t="shared" si="14"/>
        <v>1.3059902777777799E-2</v>
      </c>
      <c r="AI26" s="14">
        <f t="shared" si="3"/>
        <v>0.98710845948796511</v>
      </c>
      <c r="AK26" s="6">
        <v>0.98710845948796511</v>
      </c>
      <c r="AL26" s="9">
        <f t="shared" si="16"/>
        <v>0</v>
      </c>
    </row>
    <row r="27" spans="2:38" x14ac:dyDescent="0.25">
      <c r="B27" s="30" t="s">
        <v>57</v>
      </c>
      <c r="C27" s="30" t="s">
        <v>49</v>
      </c>
      <c r="F27" s="9" t="s">
        <v>29</v>
      </c>
      <c r="G27" s="2" t="s">
        <v>14</v>
      </c>
      <c r="H27" s="4">
        <v>1.2957E-2</v>
      </c>
      <c r="J27" s="9">
        <f>IF(RIGHT(G27)="M",1,IF(RIGHT(G27)="Y",12,NA()))*LEFT(G27,LEN(G27)-1)</f>
        <v>24</v>
      </c>
      <c r="K27" s="8">
        <f t="shared" si="10"/>
        <v>40795</v>
      </c>
      <c r="L27" s="17">
        <f t="shared" si="15"/>
        <v>40795</v>
      </c>
      <c r="M27" s="18">
        <f>AD20</f>
        <v>0.97448217312946328</v>
      </c>
      <c r="O27" s="9">
        <f t="shared" si="4"/>
        <v>8</v>
      </c>
      <c r="P27" s="8">
        <f t="shared" si="0"/>
        <v>41526</v>
      </c>
      <c r="Q27" s="8">
        <f t="shared" si="1"/>
        <v>41526</v>
      </c>
      <c r="R27" s="28">
        <f t="shared" si="11"/>
        <v>0.49444444444444446</v>
      </c>
      <c r="S27" s="9">
        <f t="shared" si="12"/>
        <v>8</v>
      </c>
      <c r="T27" s="8">
        <f t="shared" si="5"/>
        <v>41162</v>
      </c>
      <c r="U27" s="8">
        <f t="shared" si="6"/>
        <v>41526</v>
      </c>
      <c r="V27" s="14">
        <f t="shared" si="7"/>
        <v>0.94384154854659574</v>
      </c>
      <c r="W27" s="14">
        <f t="shared" si="8"/>
        <v>0.90852459779052486</v>
      </c>
      <c r="X27" s="9">
        <f t="shared" si="13"/>
        <v>0.90852459779052464</v>
      </c>
      <c r="Y27" s="9">
        <f t="shared" si="9"/>
        <v>0.44921494001864831</v>
      </c>
      <c r="AA27" s="9" t="str">
        <f>G34</f>
        <v>9Y</v>
      </c>
      <c r="AB27" s="8">
        <f>INDEX(Nodes,MATCH(AA27,Tenors,0))</f>
        <v>43353</v>
      </c>
      <c r="AC27" s="38">
        <f>INDEX(MarketRates,MATCH(AA27,Tenors,0))</f>
        <v>3.5439999999999999E-2</v>
      </c>
      <c r="AD27" s="27">
        <v>0.72139255487203413</v>
      </c>
      <c r="AE27" s="5">
        <f>AD27+AC27*SUMIF(CouponDates,"&lt;="&amp;AB27,CouponPVs)-1</f>
        <v>0</v>
      </c>
      <c r="AG27" s="8">
        <f t="shared" si="2"/>
        <v>40795</v>
      </c>
      <c r="AH27" s="25">
        <f t="shared" si="14"/>
        <v>1.3008409464404513E-2</v>
      </c>
      <c r="AI27" s="14">
        <f t="shared" si="3"/>
        <v>0.97448217312946328</v>
      </c>
      <c r="AK27" s="6">
        <v>0.97448217314104801</v>
      </c>
      <c r="AL27" s="9">
        <f t="shared" si="16"/>
        <v>1.1888046103081251E-11</v>
      </c>
    </row>
    <row r="28" spans="2:38" x14ac:dyDescent="0.25">
      <c r="B28" s="2" t="s">
        <v>54</v>
      </c>
      <c r="C28" s="2">
        <v>0</v>
      </c>
      <c r="F28" s="9" t="s">
        <v>29</v>
      </c>
      <c r="G28" s="2" t="s">
        <v>15</v>
      </c>
      <c r="H28" s="4">
        <v>1.9209E-2</v>
      </c>
      <c r="J28" s="9">
        <f>IF(RIGHT(G28)="M",1,IF(RIGHT(G28)="Y",12,NA()))*LEFT(G28,LEN(G28)-1)</f>
        <v>36</v>
      </c>
      <c r="K28" s="8">
        <f t="shared" si="10"/>
        <v>41161</v>
      </c>
      <c r="L28" s="17">
        <f t="shared" si="15"/>
        <v>41162</v>
      </c>
      <c r="M28" s="18">
        <f t="shared" ref="M28:M40" si="17">AD21</f>
        <v>0.94384154854659574</v>
      </c>
      <c r="O28" s="9">
        <f t="shared" si="4"/>
        <v>9</v>
      </c>
      <c r="P28" s="8">
        <f t="shared" si="0"/>
        <v>41707</v>
      </c>
      <c r="Q28" s="8">
        <f t="shared" si="1"/>
        <v>41708</v>
      </c>
      <c r="R28" s="28">
        <f t="shared" si="11"/>
        <v>0.50277777777777777</v>
      </c>
      <c r="S28" s="9">
        <f t="shared" si="12"/>
        <v>9</v>
      </c>
      <c r="T28" s="8">
        <f t="shared" si="5"/>
        <v>41526</v>
      </c>
      <c r="U28" s="8">
        <f t="shared" si="6"/>
        <v>41891</v>
      </c>
      <c r="V28" s="14">
        <f t="shared" si="7"/>
        <v>0.90852459779052486</v>
      </c>
      <c r="W28" s="14">
        <f t="shared" si="8"/>
        <v>0.87030664586312967</v>
      </c>
      <c r="X28" s="9">
        <f t="shared" si="13"/>
        <v>0.889262672104004</v>
      </c>
      <c r="Y28" s="9">
        <f t="shared" si="9"/>
        <v>0.44710151014117977</v>
      </c>
      <c r="AA28" s="9" t="str">
        <f>G35</f>
        <v>10Y</v>
      </c>
      <c r="AB28" s="8">
        <f>INDEX(Nodes,MATCH(AA28,Tenors,0))</f>
        <v>43717</v>
      </c>
      <c r="AC28" s="38">
        <f>INDEX(MarketRates,MATCH(AA28,Tenors,0))</f>
        <v>3.6495E-2</v>
      </c>
      <c r="AD28" s="27">
        <v>0.68776373580649675</v>
      </c>
      <c r="AE28" s="5">
        <f>AD28+AC28*SUMIF(CouponDates,"&lt;="&amp;AB28,CouponPVs)-1</f>
        <v>0</v>
      </c>
      <c r="AG28" s="8">
        <f t="shared" si="2"/>
        <v>41162</v>
      </c>
      <c r="AH28" s="25">
        <f t="shared" si="14"/>
        <v>1.9416632827402358E-2</v>
      </c>
      <c r="AI28" s="14">
        <f t="shared" si="3"/>
        <v>0.94384154854659574</v>
      </c>
      <c r="AK28" s="6">
        <v>0.9438415485463777</v>
      </c>
      <c r="AL28" s="9">
        <f t="shared" si="16"/>
        <v>-2.3103741142449508E-13</v>
      </c>
    </row>
    <row r="29" spans="2:38" x14ac:dyDescent="0.25">
      <c r="B29" s="2" t="s">
        <v>50</v>
      </c>
      <c r="C29" s="2">
        <v>1</v>
      </c>
      <c r="F29" s="9" t="s">
        <v>29</v>
      </c>
      <c r="G29" s="2" t="s">
        <v>16</v>
      </c>
      <c r="H29" s="4">
        <v>2.3831999999999999E-2</v>
      </c>
      <c r="J29" s="9">
        <f>IF(RIGHT(G29)="M",1,IF(RIGHT(G29)="Y",12,NA()))*LEFT(G29,LEN(G29)-1)</f>
        <v>48</v>
      </c>
      <c r="K29" s="8">
        <f t="shared" si="10"/>
        <v>41526</v>
      </c>
      <c r="L29" s="17">
        <f t="shared" si="15"/>
        <v>41526</v>
      </c>
      <c r="M29" s="18">
        <f t="shared" si="17"/>
        <v>0.90852459779052486</v>
      </c>
      <c r="O29" s="9">
        <f t="shared" si="4"/>
        <v>10</v>
      </c>
      <c r="P29" s="8">
        <f t="shared" si="0"/>
        <v>41891</v>
      </c>
      <c r="Q29" s="8">
        <f t="shared" si="1"/>
        <v>41891</v>
      </c>
      <c r="R29" s="28">
        <f t="shared" si="11"/>
        <v>0.49722222222222223</v>
      </c>
      <c r="S29" s="9">
        <f t="shared" si="12"/>
        <v>9</v>
      </c>
      <c r="T29" s="8">
        <f t="shared" si="5"/>
        <v>41526</v>
      </c>
      <c r="U29" s="8">
        <f t="shared" si="6"/>
        <v>41891</v>
      </c>
      <c r="V29" s="14">
        <f t="shared" si="7"/>
        <v>0.90852459779052486</v>
      </c>
      <c r="W29" s="14">
        <f t="shared" si="8"/>
        <v>0.87030664586312967</v>
      </c>
      <c r="X29" s="9">
        <f t="shared" si="13"/>
        <v>0.87030664586313056</v>
      </c>
      <c r="Y29" s="9">
        <f t="shared" si="9"/>
        <v>0.43273580447083437</v>
      </c>
      <c r="AA29" s="9" t="str">
        <f>G36</f>
        <v>12Y</v>
      </c>
      <c r="AB29" s="8">
        <f>INDEX(Nodes,MATCH(AA29,Tenors,0))</f>
        <v>44448</v>
      </c>
      <c r="AC29" s="38">
        <f>INDEX(MarketRates,MATCH(AA29,Tenors,0))</f>
        <v>3.8138999999999999E-2</v>
      </c>
      <c r="AD29" s="27">
        <v>0.62429695136153007</v>
      </c>
      <c r="AE29" s="5">
        <f>AD29+AC29*SUMIF(CouponDates,"&lt;="&amp;AB29,CouponPVs)-1</f>
        <v>0</v>
      </c>
      <c r="AG29" s="8">
        <f t="shared" si="2"/>
        <v>41526</v>
      </c>
      <c r="AH29" s="25">
        <f t="shared" si="14"/>
        <v>2.4256428158939913E-2</v>
      </c>
      <c r="AI29" s="14">
        <f t="shared" si="3"/>
        <v>0.90852459779052486</v>
      </c>
      <c r="AK29" s="6">
        <v>0.90852459779051953</v>
      </c>
      <c r="AL29" s="9">
        <f t="shared" si="16"/>
        <v>-5.8841820305133297E-15</v>
      </c>
    </row>
    <row r="30" spans="2:38" x14ac:dyDescent="0.25">
      <c r="B30" s="2" t="s">
        <v>51</v>
      </c>
      <c r="C30" s="2">
        <v>2</v>
      </c>
      <c r="F30" s="9" t="s">
        <v>29</v>
      </c>
      <c r="G30" s="2" t="s">
        <v>17</v>
      </c>
      <c r="H30" s="4">
        <v>2.7487999999999999E-2</v>
      </c>
      <c r="J30" s="9">
        <f>IF(RIGHT(G30)="M",1,IF(RIGHT(G30)="Y",12,NA()))*LEFT(G30,LEN(G30)-1)</f>
        <v>60</v>
      </c>
      <c r="K30" s="8">
        <f t="shared" si="10"/>
        <v>41891</v>
      </c>
      <c r="L30" s="17">
        <f t="shared" si="15"/>
        <v>41891</v>
      </c>
      <c r="M30" s="18">
        <f t="shared" si="17"/>
        <v>0.87030664586312967</v>
      </c>
      <c r="O30" s="9">
        <f t="shared" si="4"/>
        <v>11</v>
      </c>
      <c r="P30" s="8">
        <f t="shared" si="0"/>
        <v>42072</v>
      </c>
      <c r="Q30" s="8">
        <f t="shared" si="1"/>
        <v>42072</v>
      </c>
      <c r="R30" s="28">
        <f t="shared" si="11"/>
        <v>0.5</v>
      </c>
      <c r="S30" s="9">
        <f t="shared" si="12"/>
        <v>10</v>
      </c>
      <c r="T30" s="8">
        <f t="shared" si="5"/>
        <v>41891</v>
      </c>
      <c r="U30" s="8">
        <f t="shared" si="6"/>
        <v>42256</v>
      </c>
      <c r="V30" s="14">
        <f t="shared" si="7"/>
        <v>0.87030664586312967</v>
      </c>
      <c r="W30" s="14">
        <f t="shared" si="8"/>
        <v>0.83200164875320648</v>
      </c>
      <c r="X30" s="9">
        <f t="shared" si="13"/>
        <v>0.85109605626696927</v>
      </c>
      <c r="Y30" s="9">
        <f t="shared" si="9"/>
        <v>0.42554802813348463</v>
      </c>
      <c r="AA30" s="9" t="str">
        <f>G37</f>
        <v>15Y</v>
      </c>
      <c r="AB30" s="8">
        <f>INDEX(Nodes,MATCH(AA30,Tenors,0))</f>
        <v>45544</v>
      </c>
      <c r="AC30" s="38">
        <f>INDEX(MarketRates,MATCH(AA30,Tenors,0))</f>
        <v>3.9685999999999999E-2</v>
      </c>
      <c r="AD30" s="27">
        <v>0.54064658516492059</v>
      </c>
      <c r="AE30" s="5">
        <f>AD30+AC30*SUMIF(CouponDates,"&lt;="&amp;AB30,CouponPVs)-1</f>
        <v>0</v>
      </c>
      <c r="AG30" s="8">
        <f t="shared" si="2"/>
        <v>41891</v>
      </c>
      <c r="AH30" s="25">
        <f t="shared" si="14"/>
        <v>2.8155806143760786E-2</v>
      </c>
      <c r="AI30" s="14">
        <f t="shared" si="3"/>
        <v>0.87030664586312967</v>
      </c>
      <c r="AK30" s="6">
        <v>0.87030664586349582</v>
      </c>
      <c r="AL30" s="9">
        <f t="shared" si="16"/>
        <v>4.2077452633293433E-13</v>
      </c>
    </row>
    <row r="31" spans="2:38" x14ac:dyDescent="0.25">
      <c r="B31" s="2" t="s">
        <v>52</v>
      </c>
      <c r="C31" s="2">
        <v>3</v>
      </c>
      <c r="F31" s="9" t="s">
        <v>29</v>
      </c>
      <c r="G31" s="2" t="s">
        <v>18</v>
      </c>
      <c r="H31" s="4">
        <v>3.0217000000000001E-2</v>
      </c>
      <c r="J31" s="9">
        <f>IF(RIGHT(G31)="M",1,IF(RIGHT(G31)="Y",12,NA()))*LEFT(G31,LEN(G31)-1)</f>
        <v>72</v>
      </c>
      <c r="K31" s="8">
        <f t="shared" si="10"/>
        <v>42256</v>
      </c>
      <c r="L31" s="17">
        <f t="shared" si="15"/>
        <v>42256</v>
      </c>
      <c r="M31" s="18">
        <f t="shared" si="17"/>
        <v>0.83200164875320648</v>
      </c>
      <c r="O31" s="9">
        <f t="shared" si="4"/>
        <v>12</v>
      </c>
      <c r="P31" s="8">
        <f t="shared" si="0"/>
        <v>42256</v>
      </c>
      <c r="Q31" s="8">
        <f t="shared" si="1"/>
        <v>42256</v>
      </c>
      <c r="R31" s="28">
        <f t="shared" si="11"/>
        <v>0.5</v>
      </c>
      <c r="S31" s="9">
        <f t="shared" si="12"/>
        <v>10</v>
      </c>
      <c r="T31" s="8">
        <f t="shared" si="5"/>
        <v>41891</v>
      </c>
      <c r="U31" s="8">
        <f t="shared" si="6"/>
        <v>42256</v>
      </c>
      <c r="V31" s="14">
        <f t="shared" si="7"/>
        <v>0.87030664586312967</v>
      </c>
      <c r="W31" s="14">
        <f t="shared" si="8"/>
        <v>0.83200164875320648</v>
      </c>
      <c r="X31" s="9">
        <f t="shared" si="13"/>
        <v>0.83200164875320692</v>
      </c>
      <c r="Y31" s="9">
        <f t="shared" si="9"/>
        <v>0.41600082437660346</v>
      </c>
      <c r="AA31" s="9" t="str">
        <f>G38</f>
        <v>20Y</v>
      </c>
      <c r="AB31" s="8">
        <f>INDEX(Nodes,MATCH(AA31,Tenors,0))</f>
        <v>47371</v>
      </c>
      <c r="AC31" s="38">
        <f>INDEX(MarketRates,MATCH(AA31,Tenors,0))</f>
        <v>4.0715000000000001E-2</v>
      </c>
      <c r="AD31" s="27">
        <v>0.43127029157816904</v>
      </c>
      <c r="AE31" s="5">
        <f>AD31+AC31*SUMIF(CouponDates,"&lt;="&amp;AB31,CouponPVs)-1</f>
        <v>0</v>
      </c>
      <c r="AG31" s="8">
        <f t="shared" si="2"/>
        <v>42256</v>
      </c>
      <c r="AH31" s="25">
        <f t="shared" si="14"/>
        <v>3.1113705376401235E-2</v>
      </c>
      <c r="AI31" s="14">
        <f t="shared" si="3"/>
        <v>0.83200164875320648</v>
      </c>
      <c r="AK31" s="6">
        <v>0.83200164876903082</v>
      </c>
      <c r="AL31" s="9">
        <f t="shared" si="16"/>
        <v>1.9019674724063407E-11</v>
      </c>
    </row>
    <row r="32" spans="2:38" x14ac:dyDescent="0.25">
      <c r="B32" s="2" t="s">
        <v>53</v>
      </c>
      <c r="C32" s="2">
        <v>4</v>
      </c>
      <c r="F32" s="9" t="s">
        <v>29</v>
      </c>
      <c r="G32" s="2" t="s">
        <v>19</v>
      </c>
      <c r="H32" s="4">
        <v>3.2483999999999999E-2</v>
      </c>
      <c r="J32" s="9">
        <f>IF(RIGHT(G32)="M",1,IF(RIGHT(G32)="Y",12,NA()))*LEFT(G32,LEN(G32)-1)</f>
        <v>84</v>
      </c>
      <c r="K32" s="8">
        <f t="shared" si="10"/>
        <v>42622</v>
      </c>
      <c r="L32" s="17">
        <f t="shared" si="15"/>
        <v>42622</v>
      </c>
      <c r="M32" s="18">
        <f t="shared" si="17"/>
        <v>0.79331553266552735</v>
      </c>
      <c r="O32" s="9">
        <f t="shared" si="4"/>
        <v>13</v>
      </c>
      <c r="P32" s="8">
        <f t="shared" si="0"/>
        <v>42438</v>
      </c>
      <c r="Q32" s="8">
        <f t="shared" si="1"/>
        <v>42438</v>
      </c>
      <c r="R32" s="28">
        <f t="shared" si="11"/>
        <v>0.5</v>
      </c>
      <c r="S32" s="9">
        <f t="shared" si="12"/>
        <v>11</v>
      </c>
      <c r="T32" s="8">
        <f t="shared" si="5"/>
        <v>42256</v>
      </c>
      <c r="U32" s="8">
        <f t="shared" si="6"/>
        <v>42622</v>
      </c>
      <c r="V32" s="14">
        <f t="shared" si="7"/>
        <v>0.83200164875320648</v>
      </c>
      <c r="W32" s="14">
        <f t="shared" si="8"/>
        <v>0.79331553266552735</v>
      </c>
      <c r="X32" s="9">
        <f t="shared" si="13"/>
        <v>0.81253405113961175</v>
      </c>
      <c r="Y32" s="9">
        <f t="shared" si="9"/>
        <v>0.40626702556980587</v>
      </c>
      <c r="AA32" s="9" t="str">
        <f>G39</f>
        <v>25Y</v>
      </c>
      <c r="AB32" s="8">
        <f>INDEX(Nodes,MATCH(AA32,Tenors,0))</f>
        <v>49198</v>
      </c>
      <c r="AC32" s="38">
        <f>INDEX(MarketRates,MATCH(AA32,Tenors,0))</f>
        <v>4.1133999999999997E-2</v>
      </c>
      <c r="AD32" s="27">
        <v>0.34656355037244441</v>
      </c>
      <c r="AE32" s="5">
        <f>AD32+AC32*SUMIF(CouponDates,"&lt;="&amp;AB32,CouponPVs)-1</f>
        <v>0</v>
      </c>
      <c r="AG32" s="8">
        <f t="shared" si="2"/>
        <v>42622</v>
      </c>
      <c r="AH32" s="25">
        <f t="shared" si="14"/>
        <v>3.3602681808725166E-2</v>
      </c>
      <c r="AI32" s="14">
        <f t="shared" si="3"/>
        <v>0.79331553266552735</v>
      </c>
      <c r="AK32" s="6">
        <v>0.79331553266543686</v>
      </c>
      <c r="AL32" s="9">
        <f t="shared" si="16"/>
        <v>-1.1401990462900358E-13</v>
      </c>
    </row>
    <row r="33" spans="6:38" x14ac:dyDescent="0.25">
      <c r="F33" s="9" t="s">
        <v>29</v>
      </c>
      <c r="G33" s="2" t="s">
        <v>20</v>
      </c>
      <c r="H33" s="4">
        <v>3.4039E-2</v>
      </c>
      <c r="J33" s="9">
        <f>IF(RIGHT(G33)="M",1,IF(RIGHT(G33)="Y",12,NA()))*LEFT(G33,LEN(G33)-1)</f>
        <v>96</v>
      </c>
      <c r="K33" s="8">
        <f t="shared" si="10"/>
        <v>42987</v>
      </c>
      <c r="L33" s="17">
        <f t="shared" si="15"/>
        <v>42989</v>
      </c>
      <c r="M33" s="18">
        <f t="shared" si="17"/>
        <v>0.75719623874917874</v>
      </c>
      <c r="O33" s="9">
        <f t="shared" si="4"/>
        <v>14</v>
      </c>
      <c r="P33" s="8">
        <f t="shared" si="0"/>
        <v>42622</v>
      </c>
      <c r="Q33" s="8">
        <f t="shared" si="1"/>
        <v>42622</v>
      </c>
      <c r="R33" s="28">
        <f t="shared" si="11"/>
        <v>0.5</v>
      </c>
      <c r="S33" s="9">
        <f t="shared" si="12"/>
        <v>11</v>
      </c>
      <c r="T33" s="8">
        <f t="shared" si="5"/>
        <v>42256</v>
      </c>
      <c r="U33" s="8">
        <f t="shared" si="6"/>
        <v>42622</v>
      </c>
      <c r="V33" s="14">
        <f t="shared" si="7"/>
        <v>0.83200164875320648</v>
      </c>
      <c r="W33" s="14">
        <f t="shared" si="8"/>
        <v>0.79331553266552735</v>
      </c>
      <c r="X33" s="9">
        <f t="shared" si="13"/>
        <v>0.79331553266552757</v>
      </c>
      <c r="Y33" s="9">
        <f t="shared" si="9"/>
        <v>0.39665776633276378</v>
      </c>
      <c r="AA33" s="9" t="str">
        <f>G40</f>
        <v>30Y</v>
      </c>
      <c r="AB33" s="8">
        <f>INDEX(Nodes,MATCH(AA33,Tenors,0))</f>
        <v>51022</v>
      </c>
      <c r="AC33" s="38">
        <f>INDEX(MarketRates,MATCH(AA33,Tenors,0))</f>
        <v>4.1459000000000003E-2</v>
      </c>
      <c r="AD33" s="27">
        <v>0.27773452755721245</v>
      </c>
      <c r="AE33" s="5">
        <f>AD33+AC33*SUMIF(CouponDates,"&lt;="&amp;AB33,CouponPVs)-1</f>
        <v>0</v>
      </c>
      <c r="AG33" s="8">
        <f t="shared" si="2"/>
        <v>42989</v>
      </c>
      <c r="AH33" s="25">
        <f t="shared" si="14"/>
        <v>3.5328785103756477E-2</v>
      </c>
      <c r="AI33" s="14">
        <f t="shared" si="3"/>
        <v>0.75719623874917874</v>
      </c>
      <c r="AK33" s="6">
        <v>0.75719623881619769</v>
      </c>
      <c r="AL33" s="9">
        <f t="shared" si="16"/>
        <v>8.8509422013771655E-11</v>
      </c>
    </row>
    <row r="34" spans="6:38" x14ac:dyDescent="0.25">
      <c r="F34" s="9" t="s">
        <v>29</v>
      </c>
      <c r="G34" s="2" t="s">
        <v>21</v>
      </c>
      <c r="H34" s="4">
        <v>3.5439999999999999E-2</v>
      </c>
      <c r="J34" s="9">
        <f>IF(RIGHT(G34)="M",1,IF(RIGHT(G34)="Y",12,NA()))*LEFT(G34,LEN(G34)-1)</f>
        <v>108</v>
      </c>
      <c r="K34" s="8">
        <f t="shared" si="10"/>
        <v>43352</v>
      </c>
      <c r="L34" s="17">
        <f t="shared" si="15"/>
        <v>43353</v>
      </c>
      <c r="M34" s="18">
        <f t="shared" si="17"/>
        <v>0.72139255487203413</v>
      </c>
      <c r="O34" s="9">
        <f t="shared" si="4"/>
        <v>15</v>
      </c>
      <c r="P34" s="8">
        <f t="shared" si="0"/>
        <v>42803</v>
      </c>
      <c r="Q34" s="8">
        <f t="shared" si="1"/>
        <v>42803</v>
      </c>
      <c r="R34" s="28">
        <f t="shared" si="11"/>
        <v>0.5</v>
      </c>
      <c r="S34" s="9">
        <f t="shared" si="12"/>
        <v>12</v>
      </c>
      <c r="T34" s="8">
        <f t="shared" si="5"/>
        <v>42622</v>
      </c>
      <c r="U34" s="8">
        <f t="shared" si="6"/>
        <v>42989</v>
      </c>
      <c r="V34" s="14">
        <f t="shared" si="7"/>
        <v>0.79331553266552735</v>
      </c>
      <c r="W34" s="14">
        <f t="shared" si="8"/>
        <v>0.75719623874917874</v>
      </c>
      <c r="X34" s="9">
        <f t="shared" si="13"/>
        <v>0.77529156774090946</v>
      </c>
      <c r="Y34" s="9">
        <f t="shared" si="9"/>
        <v>0.38764578387045473</v>
      </c>
      <c r="AG34" s="8">
        <f t="shared" si="2"/>
        <v>43353</v>
      </c>
      <c r="AH34" s="25">
        <f t="shared" si="14"/>
        <v>3.6917792287043838E-2</v>
      </c>
      <c r="AI34" s="14">
        <f t="shared" si="3"/>
        <v>0.72139255487203413</v>
      </c>
      <c r="AK34" s="6">
        <v>0.72139255486876619</v>
      </c>
      <c r="AL34" s="9">
        <f t="shared" si="16"/>
        <v>-4.5300430073780262E-12</v>
      </c>
    </row>
    <row r="35" spans="6:38" x14ac:dyDescent="0.25">
      <c r="F35" s="9" t="s">
        <v>29</v>
      </c>
      <c r="G35" s="2" t="s">
        <v>22</v>
      </c>
      <c r="H35" s="4">
        <v>3.6495E-2</v>
      </c>
      <c r="J35" s="9">
        <f>IF(RIGHT(G35)="M",1,IF(RIGHT(G35)="Y",12,NA()))*LEFT(G35,LEN(G35)-1)</f>
        <v>120</v>
      </c>
      <c r="K35" s="8">
        <f t="shared" si="10"/>
        <v>43717</v>
      </c>
      <c r="L35" s="17">
        <f t="shared" si="15"/>
        <v>43717</v>
      </c>
      <c r="M35" s="18">
        <f t="shared" si="17"/>
        <v>0.68776373580649675</v>
      </c>
      <c r="O35" s="9">
        <f t="shared" si="4"/>
        <v>16</v>
      </c>
      <c r="P35" s="8">
        <f t="shared" si="0"/>
        <v>42987</v>
      </c>
      <c r="Q35" s="8">
        <f t="shared" si="1"/>
        <v>42989</v>
      </c>
      <c r="R35" s="28">
        <f t="shared" si="11"/>
        <v>0.50555555555555554</v>
      </c>
      <c r="S35" s="9">
        <f t="shared" si="12"/>
        <v>12</v>
      </c>
      <c r="T35" s="8">
        <f t="shared" si="5"/>
        <v>42622</v>
      </c>
      <c r="U35" s="8">
        <f t="shared" si="6"/>
        <v>42989</v>
      </c>
      <c r="V35" s="14">
        <f t="shared" si="7"/>
        <v>0.79331553266552735</v>
      </c>
      <c r="W35" s="14">
        <f t="shared" si="8"/>
        <v>0.75719623874917874</v>
      </c>
      <c r="X35" s="9">
        <f t="shared" si="13"/>
        <v>0.75719623874917907</v>
      </c>
      <c r="Y35" s="9">
        <f t="shared" si="9"/>
        <v>0.38280476514541828</v>
      </c>
      <c r="AG35" s="8">
        <f t="shared" si="2"/>
        <v>43717</v>
      </c>
      <c r="AH35" s="25">
        <f t="shared" si="14"/>
        <v>3.8119072783477703E-2</v>
      </c>
      <c r="AI35" s="14">
        <f t="shared" si="3"/>
        <v>0.68776373580649675</v>
      </c>
      <c r="AK35" s="6">
        <v>0.68776373581289596</v>
      </c>
      <c r="AL35" s="9">
        <f t="shared" si="16"/>
        <v>9.3043350801735869E-12</v>
      </c>
    </row>
    <row r="36" spans="6:38" x14ac:dyDescent="0.25">
      <c r="F36" s="9" t="s">
        <v>29</v>
      </c>
      <c r="G36" s="2" t="s">
        <v>23</v>
      </c>
      <c r="H36" s="4">
        <v>3.8138999999999999E-2</v>
      </c>
      <c r="J36" s="9">
        <f>IF(RIGHT(G36)="M",1,IF(RIGHT(G36)="Y",12,NA()))*LEFT(G36,LEN(G36)-1)</f>
        <v>144</v>
      </c>
      <c r="K36" s="8">
        <f t="shared" si="10"/>
        <v>44448</v>
      </c>
      <c r="L36" s="17">
        <f t="shared" si="15"/>
        <v>44448</v>
      </c>
      <c r="M36" s="18">
        <f t="shared" si="17"/>
        <v>0.62429695136153007</v>
      </c>
      <c r="O36" s="9">
        <f t="shared" si="4"/>
        <v>17</v>
      </c>
      <c r="P36" s="8">
        <f t="shared" si="0"/>
        <v>43168</v>
      </c>
      <c r="Q36" s="8">
        <f t="shared" si="1"/>
        <v>43168</v>
      </c>
      <c r="R36" s="28">
        <f t="shared" si="11"/>
        <v>0.49444444444444446</v>
      </c>
      <c r="S36" s="9">
        <f t="shared" si="12"/>
        <v>13</v>
      </c>
      <c r="T36" s="8">
        <f t="shared" si="5"/>
        <v>42989</v>
      </c>
      <c r="U36" s="8">
        <f t="shared" si="6"/>
        <v>43353</v>
      </c>
      <c r="V36" s="14">
        <f t="shared" si="7"/>
        <v>0.75719623874917874</v>
      </c>
      <c r="W36" s="14">
        <f t="shared" si="8"/>
        <v>0.72139255487203413</v>
      </c>
      <c r="X36" s="9">
        <f t="shared" si="13"/>
        <v>0.73937273592309372</v>
      </c>
      <c r="Y36" s="9">
        <f t="shared" si="9"/>
        <v>0.36557874165086301</v>
      </c>
      <c r="AG36" s="8">
        <f t="shared" si="2"/>
        <v>44448</v>
      </c>
      <c r="AH36" s="25">
        <f t="shared" si="14"/>
        <v>4.0013703135127532E-2</v>
      </c>
      <c r="AI36" s="14">
        <f t="shared" si="3"/>
        <v>0.62429695136153007</v>
      </c>
      <c r="AK36" s="6">
        <v>0.62429695140955777</v>
      </c>
      <c r="AL36" s="9">
        <f t="shared" si="16"/>
        <v>7.6930906089955897E-11</v>
      </c>
    </row>
    <row r="37" spans="6:38" x14ac:dyDescent="0.25">
      <c r="F37" s="9" t="s">
        <v>29</v>
      </c>
      <c r="G37" s="2" t="s">
        <v>24</v>
      </c>
      <c r="H37" s="4">
        <v>3.9685999999999999E-2</v>
      </c>
      <c r="J37" s="9">
        <f>IF(RIGHT(G37)="M",1,IF(RIGHT(G37)="Y",12,NA()))*LEFT(G37,LEN(G37)-1)</f>
        <v>180</v>
      </c>
      <c r="K37" s="8">
        <f t="shared" si="10"/>
        <v>45544</v>
      </c>
      <c r="L37" s="17">
        <f t="shared" si="15"/>
        <v>45544</v>
      </c>
      <c r="M37" s="18">
        <f t="shared" si="17"/>
        <v>0.54064658516492059</v>
      </c>
      <c r="O37" s="9">
        <f t="shared" si="4"/>
        <v>18</v>
      </c>
      <c r="P37" s="8">
        <f t="shared" si="0"/>
        <v>43352</v>
      </c>
      <c r="Q37" s="8">
        <f t="shared" si="1"/>
        <v>43353</v>
      </c>
      <c r="R37" s="28">
        <f t="shared" si="11"/>
        <v>0.50277777777777777</v>
      </c>
      <c r="S37" s="9">
        <f t="shared" si="12"/>
        <v>13</v>
      </c>
      <c r="T37" s="8">
        <f t="shared" si="5"/>
        <v>42989</v>
      </c>
      <c r="U37" s="8">
        <f t="shared" si="6"/>
        <v>43353</v>
      </c>
      <c r="V37" s="14">
        <f t="shared" si="7"/>
        <v>0.75719623874917874</v>
      </c>
      <c r="W37" s="14">
        <f t="shared" si="8"/>
        <v>0.72139255487203413</v>
      </c>
      <c r="X37" s="9">
        <f t="shared" si="13"/>
        <v>0.72139255487203402</v>
      </c>
      <c r="Y37" s="9">
        <f t="shared" si="9"/>
        <v>0.36270014564399489</v>
      </c>
      <c r="AG37" s="8">
        <f t="shared" si="2"/>
        <v>45544</v>
      </c>
      <c r="AH37" s="25">
        <f t="shared" si="14"/>
        <v>4.1820190382712896E-2</v>
      </c>
      <c r="AI37" s="14">
        <f t="shared" si="3"/>
        <v>0.54064658516492059</v>
      </c>
      <c r="AK37" s="6">
        <v>0.54064658515682074</v>
      </c>
      <c r="AL37" s="9">
        <f t="shared" si="16"/>
        <v>-1.4981793583501712E-11</v>
      </c>
    </row>
    <row r="38" spans="6:38" x14ac:dyDescent="0.25">
      <c r="F38" s="9" t="s">
        <v>29</v>
      </c>
      <c r="G38" s="2" t="s">
        <v>25</v>
      </c>
      <c r="H38" s="4">
        <v>4.0715000000000001E-2</v>
      </c>
      <c r="J38" s="9">
        <f>IF(RIGHT(G38)="M",1,IF(RIGHT(G38)="Y",12,NA()))*LEFT(G38,LEN(G38)-1)</f>
        <v>240</v>
      </c>
      <c r="K38" s="8">
        <f t="shared" si="10"/>
        <v>47370</v>
      </c>
      <c r="L38" s="17">
        <f t="shared" si="15"/>
        <v>47371</v>
      </c>
      <c r="M38" s="18">
        <f t="shared" si="17"/>
        <v>0.43127029157816904</v>
      </c>
      <c r="O38" s="9">
        <f t="shared" si="4"/>
        <v>19</v>
      </c>
      <c r="P38" s="8">
        <f t="shared" si="0"/>
        <v>43533</v>
      </c>
      <c r="Q38" s="8">
        <f t="shared" si="1"/>
        <v>43535</v>
      </c>
      <c r="R38" s="28">
        <f t="shared" si="11"/>
        <v>0.50277777777777777</v>
      </c>
      <c r="S38" s="9">
        <f t="shared" si="12"/>
        <v>14</v>
      </c>
      <c r="T38" s="8">
        <f t="shared" si="5"/>
        <v>43353</v>
      </c>
      <c r="U38" s="8">
        <f t="shared" si="6"/>
        <v>43717</v>
      </c>
      <c r="V38" s="14">
        <f t="shared" si="7"/>
        <v>0.72139255487203413</v>
      </c>
      <c r="W38" s="14">
        <f t="shared" si="8"/>
        <v>0.68776373580649675</v>
      </c>
      <c r="X38" s="9">
        <f t="shared" si="13"/>
        <v>0.70437748297470659</v>
      </c>
      <c r="Y38" s="9">
        <f t="shared" si="9"/>
        <v>0.3541453456067275</v>
      </c>
      <c r="AG38" s="8">
        <f t="shared" si="2"/>
        <v>47371</v>
      </c>
      <c r="AH38" s="25">
        <f t="shared" si="14"/>
        <v>4.2911664592197196E-2</v>
      </c>
      <c r="AI38" s="14">
        <f t="shared" si="3"/>
        <v>0.43127029157816904</v>
      </c>
      <c r="AK38" s="6">
        <v>0.43127029157610025</v>
      </c>
      <c r="AL38" s="9">
        <f t="shared" si="16"/>
        <v>-4.7969406224979139E-12</v>
      </c>
    </row>
    <row r="39" spans="6:38" x14ac:dyDescent="0.25">
      <c r="F39" s="9" t="s">
        <v>29</v>
      </c>
      <c r="G39" s="2" t="s">
        <v>26</v>
      </c>
      <c r="H39" s="4">
        <v>4.1133999999999997E-2</v>
      </c>
      <c r="J39" s="9">
        <f>IF(RIGHT(G39)="M",1,IF(RIGHT(G39)="Y",12,NA()))*LEFT(G39,LEN(G39)-1)</f>
        <v>300</v>
      </c>
      <c r="K39" s="8">
        <f t="shared" si="10"/>
        <v>49196</v>
      </c>
      <c r="L39" s="17">
        <f t="shared" si="15"/>
        <v>49198</v>
      </c>
      <c r="M39" s="18">
        <f t="shared" si="17"/>
        <v>0.34656355037244441</v>
      </c>
      <c r="O39" s="9">
        <f t="shared" si="4"/>
        <v>20</v>
      </c>
      <c r="P39" s="8">
        <f t="shared" si="0"/>
        <v>43717</v>
      </c>
      <c r="Q39" s="8">
        <f t="shared" si="1"/>
        <v>43717</v>
      </c>
      <c r="R39" s="28">
        <f t="shared" si="11"/>
        <v>0.49444444444444446</v>
      </c>
      <c r="S39" s="9">
        <f t="shared" si="12"/>
        <v>14</v>
      </c>
      <c r="T39" s="8">
        <f t="shared" si="5"/>
        <v>43353</v>
      </c>
      <c r="U39" s="8">
        <f t="shared" si="6"/>
        <v>43717</v>
      </c>
      <c r="V39" s="14">
        <f t="shared" si="7"/>
        <v>0.72139255487203413</v>
      </c>
      <c r="W39" s="14">
        <f t="shared" si="8"/>
        <v>0.68776373580649675</v>
      </c>
      <c r="X39" s="9">
        <f t="shared" si="13"/>
        <v>0.68776373580649652</v>
      </c>
      <c r="Y39" s="9">
        <f t="shared" si="9"/>
        <v>0.34006095825987886</v>
      </c>
      <c r="AG39" s="8">
        <f t="shared" si="2"/>
        <v>49198</v>
      </c>
      <c r="AH39" s="25">
        <f t="shared" si="14"/>
        <v>4.3260008140942219E-2</v>
      </c>
      <c r="AI39" s="14">
        <f t="shared" si="3"/>
        <v>0.34656355037244441</v>
      </c>
      <c r="AK39" s="6">
        <v>0.34656355036596431</v>
      </c>
      <c r="AL39" s="9">
        <f t="shared" si="16"/>
        <v>-1.8698154136131961E-11</v>
      </c>
    </row>
    <row r="40" spans="6:38" x14ac:dyDescent="0.25">
      <c r="F40" s="9" t="s">
        <v>29</v>
      </c>
      <c r="G40" s="2" t="s">
        <v>27</v>
      </c>
      <c r="H40" s="4">
        <v>4.1459000000000003E-2</v>
      </c>
      <c r="J40" s="9">
        <f>IF(RIGHT(G40)="M",1,IF(RIGHT(G40)="Y",12,NA()))*LEFT(G40,LEN(G40)-1)</f>
        <v>360</v>
      </c>
      <c r="K40" s="8">
        <f t="shared" si="10"/>
        <v>51022</v>
      </c>
      <c r="L40" s="17">
        <f t="shared" si="15"/>
        <v>51022</v>
      </c>
      <c r="M40" s="18">
        <f t="shared" si="17"/>
        <v>0.27773452755721245</v>
      </c>
      <c r="O40" s="9">
        <f t="shared" si="4"/>
        <v>21</v>
      </c>
      <c r="P40" s="8">
        <f t="shared" si="0"/>
        <v>43899</v>
      </c>
      <c r="Q40" s="8">
        <f t="shared" si="1"/>
        <v>43899</v>
      </c>
      <c r="R40" s="28">
        <f t="shared" si="11"/>
        <v>0.5</v>
      </c>
      <c r="S40" s="9">
        <f t="shared" si="12"/>
        <v>15</v>
      </c>
      <c r="T40" s="8">
        <f t="shared" si="5"/>
        <v>43717</v>
      </c>
      <c r="U40" s="8">
        <f t="shared" si="6"/>
        <v>44448</v>
      </c>
      <c r="V40" s="14">
        <f t="shared" si="7"/>
        <v>0.68776373580649675</v>
      </c>
      <c r="W40" s="14">
        <f t="shared" si="8"/>
        <v>0.62429695136153007</v>
      </c>
      <c r="X40" s="9">
        <f t="shared" si="13"/>
        <v>0.67138309077349501</v>
      </c>
      <c r="Y40" s="9">
        <f t="shared" si="9"/>
        <v>0.3356915453867475</v>
      </c>
      <c r="AG40" s="8">
        <f t="shared" si="2"/>
        <v>51022</v>
      </c>
      <c r="AH40" s="25">
        <f t="shared" si="14"/>
        <v>4.3599404863148505E-2</v>
      </c>
      <c r="AI40" s="14">
        <f t="shared" si="3"/>
        <v>0.27773452755721245</v>
      </c>
      <c r="AK40" s="6">
        <v>0.27773452755186284</v>
      </c>
      <c r="AL40" s="9">
        <f t="shared" si="16"/>
        <v>-1.9261592321129228E-11</v>
      </c>
    </row>
    <row r="41" spans="6:38" x14ac:dyDescent="0.25">
      <c r="O41" s="9">
        <f t="shared" si="4"/>
        <v>22</v>
      </c>
      <c r="P41" s="8">
        <f t="shared" si="0"/>
        <v>44083</v>
      </c>
      <c r="Q41" s="8">
        <f t="shared" si="1"/>
        <v>44083</v>
      </c>
      <c r="R41" s="28">
        <f t="shared" si="11"/>
        <v>0.5</v>
      </c>
      <c r="S41" s="9">
        <f t="shared" si="12"/>
        <v>15</v>
      </c>
      <c r="T41" s="8">
        <f t="shared" si="5"/>
        <v>43717</v>
      </c>
      <c r="U41" s="8">
        <f t="shared" si="6"/>
        <v>44448</v>
      </c>
      <c r="V41" s="14">
        <f t="shared" si="7"/>
        <v>0.68776373580649675</v>
      </c>
      <c r="W41" s="14">
        <f t="shared" si="8"/>
        <v>0.62429695136153007</v>
      </c>
      <c r="X41" s="9">
        <f t="shared" si="13"/>
        <v>0.65521900033305847</v>
      </c>
      <c r="Y41" s="9">
        <f t="shared" si="9"/>
        <v>0.32760950016652923</v>
      </c>
    </row>
    <row r="42" spans="6:38" x14ac:dyDescent="0.25">
      <c r="O42" s="9">
        <f t="shared" si="4"/>
        <v>23</v>
      </c>
      <c r="P42" s="8">
        <f t="shared" si="0"/>
        <v>44264</v>
      </c>
      <c r="Q42" s="8">
        <f t="shared" si="1"/>
        <v>44264</v>
      </c>
      <c r="R42" s="28">
        <f t="shared" si="11"/>
        <v>0.5</v>
      </c>
      <c r="S42" s="9">
        <f t="shared" si="12"/>
        <v>15</v>
      </c>
      <c r="T42" s="8">
        <f t="shared" si="5"/>
        <v>43717</v>
      </c>
      <c r="U42" s="8">
        <f t="shared" si="6"/>
        <v>44448</v>
      </c>
      <c r="V42" s="14">
        <f t="shared" si="7"/>
        <v>0.68776373580649675</v>
      </c>
      <c r="W42" s="14">
        <f t="shared" si="8"/>
        <v>0.62429695136153007</v>
      </c>
      <c r="X42" s="9">
        <f t="shared" si="13"/>
        <v>0.63969820251323239</v>
      </c>
      <c r="Y42" s="9">
        <f t="shared" si="9"/>
        <v>0.3198491012566162</v>
      </c>
    </row>
    <row r="43" spans="6:38" x14ac:dyDescent="0.25">
      <c r="O43" s="9">
        <f t="shared" si="4"/>
        <v>24</v>
      </c>
      <c r="P43" s="8">
        <f t="shared" si="0"/>
        <v>44448</v>
      </c>
      <c r="Q43" s="8">
        <f t="shared" si="1"/>
        <v>44448</v>
      </c>
      <c r="R43" s="28">
        <f t="shared" si="11"/>
        <v>0.5</v>
      </c>
      <c r="S43" s="9">
        <f t="shared" si="12"/>
        <v>15</v>
      </c>
      <c r="T43" s="8">
        <f t="shared" si="5"/>
        <v>43717</v>
      </c>
      <c r="U43" s="8">
        <f t="shared" si="6"/>
        <v>44448</v>
      </c>
      <c r="V43" s="14">
        <f t="shared" si="7"/>
        <v>0.68776373580649675</v>
      </c>
      <c r="W43" s="14">
        <f t="shared" si="8"/>
        <v>0.62429695136153007</v>
      </c>
      <c r="X43" s="9">
        <f t="shared" si="13"/>
        <v>0.62429695136152974</v>
      </c>
      <c r="Y43" s="9">
        <f t="shared" si="9"/>
        <v>0.31214847568076487</v>
      </c>
    </row>
    <row r="44" spans="6:38" x14ac:dyDescent="0.25">
      <c r="O44" s="9">
        <f t="shared" si="4"/>
        <v>25</v>
      </c>
      <c r="P44" s="8">
        <f t="shared" si="0"/>
        <v>44629</v>
      </c>
      <c r="Q44" s="8">
        <f t="shared" si="1"/>
        <v>44629</v>
      </c>
      <c r="R44" s="28">
        <f t="shared" si="11"/>
        <v>0.5</v>
      </c>
      <c r="S44" s="9">
        <f t="shared" si="12"/>
        <v>16</v>
      </c>
      <c r="T44" s="8">
        <f t="shared" si="5"/>
        <v>44448</v>
      </c>
      <c r="U44" s="8">
        <f t="shared" si="6"/>
        <v>45544</v>
      </c>
      <c r="V44" s="14">
        <f t="shared" si="7"/>
        <v>0.62429695136153007</v>
      </c>
      <c r="W44" s="14">
        <f t="shared" si="8"/>
        <v>0.54064658516492059</v>
      </c>
      <c r="X44" s="9">
        <f t="shared" si="13"/>
        <v>0.60963973350884293</v>
      </c>
      <c r="Y44" s="9">
        <f t="shared" si="9"/>
        <v>0.30481986675442146</v>
      </c>
    </row>
    <row r="45" spans="6:38" x14ac:dyDescent="0.25">
      <c r="O45" s="9">
        <f t="shared" si="4"/>
        <v>26</v>
      </c>
      <c r="P45" s="8">
        <f t="shared" si="0"/>
        <v>44813</v>
      </c>
      <c r="Q45" s="8">
        <f t="shared" si="1"/>
        <v>44813</v>
      </c>
      <c r="R45" s="28">
        <f t="shared" si="11"/>
        <v>0.5</v>
      </c>
      <c r="S45" s="9">
        <f t="shared" si="12"/>
        <v>16</v>
      </c>
      <c r="T45" s="8">
        <f t="shared" si="5"/>
        <v>44448</v>
      </c>
      <c r="U45" s="8">
        <f t="shared" si="6"/>
        <v>45544</v>
      </c>
      <c r="V45" s="14">
        <f t="shared" si="7"/>
        <v>0.62429695136153007</v>
      </c>
      <c r="W45" s="14">
        <f t="shared" si="8"/>
        <v>0.54064658516492059</v>
      </c>
      <c r="X45" s="9">
        <f t="shared" si="13"/>
        <v>0.59509225665151666</v>
      </c>
      <c r="Y45" s="9">
        <f t="shared" si="9"/>
        <v>0.29754612832575833</v>
      </c>
    </row>
    <row r="46" spans="6:38" x14ac:dyDescent="0.25">
      <c r="O46" s="9">
        <f t="shared" si="4"/>
        <v>27</v>
      </c>
      <c r="P46" s="8">
        <f t="shared" si="0"/>
        <v>44994</v>
      </c>
      <c r="Q46" s="8">
        <f t="shared" si="1"/>
        <v>44994</v>
      </c>
      <c r="R46" s="28">
        <f t="shared" si="11"/>
        <v>0.5</v>
      </c>
      <c r="S46" s="9">
        <f t="shared" si="12"/>
        <v>16</v>
      </c>
      <c r="T46" s="8">
        <f t="shared" si="5"/>
        <v>44448</v>
      </c>
      <c r="U46" s="8">
        <f t="shared" si="6"/>
        <v>45544</v>
      </c>
      <c r="V46" s="14">
        <f t="shared" si="7"/>
        <v>0.62429695136153007</v>
      </c>
      <c r="W46" s="14">
        <f t="shared" si="8"/>
        <v>0.54064658516492059</v>
      </c>
      <c r="X46" s="9">
        <f t="shared" si="13"/>
        <v>0.58112070540628691</v>
      </c>
      <c r="Y46" s="9">
        <f t="shared" si="9"/>
        <v>0.29056035270314345</v>
      </c>
    </row>
    <row r="47" spans="6:38" x14ac:dyDescent="0.25">
      <c r="O47" s="9">
        <f t="shared" si="4"/>
        <v>28</v>
      </c>
      <c r="P47" s="8">
        <f t="shared" si="0"/>
        <v>45178</v>
      </c>
      <c r="Q47" s="8">
        <f t="shared" si="1"/>
        <v>45180</v>
      </c>
      <c r="R47" s="28">
        <f t="shared" si="11"/>
        <v>0.50555555555555554</v>
      </c>
      <c r="S47" s="9">
        <f t="shared" si="12"/>
        <v>16</v>
      </c>
      <c r="T47" s="8">
        <f t="shared" si="5"/>
        <v>44448</v>
      </c>
      <c r="U47" s="8">
        <f t="shared" si="6"/>
        <v>45544</v>
      </c>
      <c r="V47" s="14">
        <f t="shared" si="7"/>
        <v>0.62429695136153007</v>
      </c>
      <c r="W47" s="14">
        <f t="shared" si="8"/>
        <v>0.54064658516492059</v>
      </c>
      <c r="X47" s="9">
        <f t="shared" si="13"/>
        <v>0.56710486619169231</v>
      </c>
      <c r="Y47" s="9">
        <f t="shared" si="9"/>
        <v>0.28670301568579998</v>
      </c>
    </row>
    <row r="48" spans="6:38" x14ac:dyDescent="0.25">
      <c r="O48" s="9">
        <f t="shared" si="4"/>
        <v>29</v>
      </c>
      <c r="P48" s="8">
        <f t="shared" si="0"/>
        <v>45360</v>
      </c>
      <c r="Q48" s="8">
        <f t="shared" si="1"/>
        <v>45362</v>
      </c>
      <c r="R48" s="28">
        <f t="shared" si="11"/>
        <v>0.5</v>
      </c>
      <c r="S48" s="9">
        <f t="shared" si="12"/>
        <v>16</v>
      </c>
      <c r="T48" s="8">
        <f t="shared" si="5"/>
        <v>44448</v>
      </c>
      <c r="U48" s="8">
        <f t="shared" si="6"/>
        <v>45544</v>
      </c>
      <c r="V48" s="14">
        <f t="shared" si="7"/>
        <v>0.62429695136153007</v>
      </c>
      <c r="W48" s="14">
        <f t="shared" si="8"/>
        <v>0.54064658516492059</v>
      </c>
      <c r="X48" s="9">
        <f t="shared" si="13"/>
        <v>0.55371771629319166</v>
      </c>
      <c r="Y48" s="9">
        <f t="shared" si="9"/>
        <v>0.27685885814659583</v>
      </c>
    </row>
    <row r="49" spans="15:25" x14ac:dyDescent="0.25">
      <c r="O49" s="9">
        <f t="shared" si="4"/>
        <v>30</v>
      </c>
      <c r="P49" s="8">
        <f t="shared" si="0"/>
        <v>45544</v>
      </c>
      <c r="Q49" s="8">
        <f t="shared" si="1"/>
        <v>45544</v>
      </c>
      <c r="R49" s="28">
        <f t="shared" si="11"/>
        <v>0.49444444444444446</v>
      </c>
      <c r="S49" s="9">
        <f t="shared" si="12"/>
        <v>16</v>
      </c>
      <c r="T49" s="8">
        <f t="shared" si="5"/>
        <v>44448</v>
      </c>
      <c r="U49" s="8">
        <f t="shared" si="6"/>
        <v>45544</v>
      </c>
      <c r="V49" s="14">
        <f t="shared" si="7"/>
        <v>0.62429695136153007</v>
      </c>
      <c r="W49" s="14">
        <f t="shared" si="8"/>
        <v>0.54064658516492059</v>
      </c>
      <c r="X49" s="9">
        <f t="shared" si="13"/>
        <v>0.54064658516492048</v>
      </c>
      <c r="Y49" s="9">
        <f t="shared" si="9"/>
        <v>0.26731970044265513</v>
      </c>
    </row>
    <row r="50" spans="15:25" x14ac:dyDescent="0.25">
      <c r="O50" s="9">
        <f t="shared" si="4"/>
        <v>31</v>
      </c>
      <c r="P50" s="8">
        <f t="shared" si="0"/>
        <v>45725</v>
      </c>
      <c r="Q50" s="8">
        <f t="shared" si="1"/>
        <v>45726</v>
      </c>
      <c r="R50" s="28">
        <f t="shared" si="11"/>
        <v>0.50277777777777777</v>
      </c>
      <c r="S50" s="9">
        <f t="shared" si="12"/>
        <v>17</v>
      </c>
      <c r="T50" s="8">
        <f t="shared" si="5"/>
        <v>45544</v>
      </c>
      <c r="U50" s="8">
        <f t="shared" si="6"/>
        <v>47371</v>
      </c>
      <c r="V50" s="14">
        <f t="shared" si="7"/>
        <v>0.54064658516492059</v>
      </c>
      <c r="W50" s="14">
        <f t="shared" si="8"/>
        <v>0.43127029157816904</v>
      </c>
      <c r="X50" s="9">
        <f t="shared" si="13"/>
        <v>0.52860915784433082</v>
      </c>
      <c r="Y50" s="9">
        <f t="shared" si="9"/>
        <v>0.26577293769395521</v>
      </c>
    </row>
    <row r="51" spans="15:25" x14ac:dyDescent="0.25">
      <c r="O51" s="9">
        <f t="shared" si="4"/>
        <v>32</v>
      </c>
      <c r="P51" s="8">
        <f t="shared" ref="P51:P79" si="18">EDATE(SpotDate,O51*6)</f>
        <v>45909</v>
      </c>
      <c r="Q51" s="8">
        <f t="shared" ref="Q51:Q79" si="19">IF(MONTH(P51)=MONTH(WORKDAY(P51-1,1)),WORKDAY(P51-1,1),WORKDAY(P51+1,-1))</f>
        <v>45909</v>
      </c>
      <c r="R51" s="28">
        <f t="shared" si="11"/>
        <v>0.49722222222222223</v>
      </c>
      <c r="S51" s="9">
        <f t="shared" si="12"/>
        <v>17</v>
      </c>
      <c r="T51" s="8">
        <f t="shared" si="5"/>
        <v>45544</v>
      </c>
      <c r="U51" s="8">
        <f t="shared" si="6"/>
        <v>47371</v>
      </c>
      <c r="V51" s="14">
        <f t="shared" si="7"/>
        <v>0.54064658516492059</v>
      </c>
      <c r="W51" s="14">
        <f t="shared" si="8"/>
        <v>0.43127029157816904</v>
      </c>
      <c r="X51" s="9">
        <f t="shared" si="13"/>
        <v>0.51677580445158466</v>
      </c>
      <c r="Y51" s="9">
        <f t="shared" si="9"/>
        <v>0.25695241388009349</v>
      </c>
    </row>
    <row r="52" spans="15:25" x14ac:dyDescent="0.25">
      <c r="O52" s="9">
        <f t="shared" ref="O52:O79" si="20">O51+1</f>
        <v>33</v>
      </c>
      <c r="P52" s="8">
        <f t="shared" si="18"/>
        <v>46090</v>
      </c>
      <c r="Q52" s="8">
        <f t="shared" si="19"/>
        <v>46090</v>
      </c>
      <c r="R52" s="28">
        <f t="shared" ref="R52:R79" si="21">YEARFRAC(Q51,Q52,SwapDCC)</f>
        <v>0.5</v>
      </c>
      <c r="S52" s="9">
        <f t="shared" ref="S52:S79" si="22">MATCH(Q52-1,Nodes,1)</f>
        <v>17</v>
      </c>
      <c r="T52" s="8">
        <f t="shared" ref="T52:T83" si="23">INDEX(Nodes,S52)</f>
        <v>45544</v>
      </c>
      <c r="U52" s="8">
        <f t="shared" ref="U52:U79" si="24">INDEX(Nodes,S52+1)</f>
        <v>47371</v>
      </c>
      <c r="V52" s="14">
        <f t="shared" ref="V52:V79" si="25">INDEX(DiscountFactors,S52)</f>
        <v>0.54064658516492059</v>
      </c>
      <c r="W52" s="14">
        <f t="shared" ref="W52:W79" si="26">INDEX(DiscountFactors,S52+1)</f>
        <v>0.43127029157816904</v>
      </c>
      <c r="X52" s="9">
        <f t="shared" si="13"/>
        <v>0.50533237131076159</v>
      </c>
      <c r="Y52" s="9">
        <f t="shared" ref="Y52:Y83" si="27">X52*R52</f>
        <v>0.25266618565538079</v>
      </c>
    </row>
    <row r="53" spans="15:25" x14ac:dyDescent="0.25">
      <c r="O53" s="9">
        <f t="shared" si="20"/>
        <v>34</v>
      </c>
      <c r="P53" s="8">
        <f t="shared" si="18"/>
        <v>46274</v>
      </c>
      <c r="Q53" s="8">
        <f t="shared" si="19"/>
        <v>46274</v>
      </c>
      <c r="R53" s="28">
        <f t="shared" si="21"/>
        <v>0.5</v>
      </c>
      <c r="S53" s="9">
        <f t="shared" si="22"/>
        <v>17</v>
      </c>
      <c r="T53" s="8">
        <f t="shared" si="23"/>
        <v>45544</v>
      </c>
      <c r="U53" s="8">
        <f t="shared" si="24"/>
        <v>47371</v>
      </c>
      <c r="V53" s="14">
        <f t="shared" si="25"/>
        <v>0.54064658516492059</v>
      </c>
      <c r="W53" s="14">
        <f t="shared" si="26"/>
        <v>0.43127029157816904</v>
      </c>
      <c r="X53" s="9">
        <f t="shared" si="13"/>
        <v>0.4939589731897005</v>
      </c>
      <c r="Y53" s="9">
        <f t="shared" si="27"/>
        <v>0.24697948659485025</v>
      </c>
    </row>
    <row r="54" spans="15:25" x14ac:dyDescent="0.25">
      <c r="O54" s="9">
        <f t="shared" si="20"/>
        <v>35</v>
      </c>
      <c r="P54" s="8">
        <f t="shared" si="18"/>
        <v>46455</v>
      </c>
      <c r="Q54" s="8">
        <f t="shared" si="19"/>
        <v>46455</v>
      </c>
      <c r="R54" s="28">
        <f t="shared" si="21"/>
        <v>0.5</v>
      </c>
      <c r="S54" s="9">
        <f t="shared" si="22"/>
        <v>17</v>
      </c>
      <c r="T54" s="8">
        <f t="shared" si="23"/>
        <v>45544</v>
      </c>
      <c r="U54" s="8">
        <f t="shared" si="24"/>
        <v>47371</v>
      </c>
      <c r="V54" s="14">
        <f t="shared" si="25"/>
        <v>0.54064658516492059</v>
      </c>
      <c r="W54" s="14">
        <f t="shared" si="26"/>
        <v>0.43127029157816904</v>
      </c>
      <c r="X54" s="9">
        <f t="shared" si="13"/>
        <v>0.4830207937406753</v>
      </c>
      <c r="Y54" s="9">
        <f t="shared" si="27"/>
        <v>0.24151039687033765</v>
      </c>
    </row>
    <row r="55" spans="15:25" x14ac:dyDescent="0.25">
      <c r="O55" s="9">
        <f t="shared" si="20"/>
        <v>36</v>
      </c>
      <c r="P55" s="8">
        <f t="shared" si="18"/>
        <v>46639</v>
      </c>
      <c r="Q55" s="8">
        <f t="shared" si="19"/>
        <v>46639</v>
      </c>
      <c r="R55" s="28">
        <f t="shared" si="21"/>
        <v>0.5</v>
      </c>
      <c r="S55" s="9">
        <f t="shared" si="22"/>
        <v>17</v>
      </c>
      <c r="T55" s="8">
        <f t="shared" si="23"/>
        <v>45544</v>
      </c>
      <c r="U55" s="8">
        <f t="shared" si="24"/>
        <v>47371</v>
      </c>
      <c r="V55" s="14">
        <f t="shared" si="25"/>
        <v>0.54064658516492059</v>
      </c>
      <c r="W55" s="14">
        <f t="shared" si="26"/>
        <v>0.43127029157816904</v>
      </c>
      <c r="X55" s="9">
        <f t="shared" si="13"/>
        <v>0.47214955710544049</v>
      </c>
      <c r="Y55" s="9">
        <f t="shared" si="27"/>
        <v>0.23607477855272024</v>
      </c>
    </row>
    <row r="56" spans="15:25" x14ac:dyDescent="0.25">
      <c r="O56" s="9">
        <f t="shared" si="20"/>
        <v>37</v>
      </c>
      <c r="P56" s="8">
        <f t="shared" si="18"/>
        <v>46821</v>
      </c>
      <c r="Q56" s="8">
        <f t="shared" si="19"/>
        <v>46821</v>
      </c>
      <c r="R56" s="28">
        <f t="shared" si="21"/>
        <v>0.5</v>
      </c>
      <c r="S56" s="9">
        <f t="shared" si="22"/>
        <v>17</v>
      </c>
      <c r="T56" s="8">
        <f t="shared" si="23"/>
        <v>45544</v>
      </c>
      <c r="U56" s="8">
        <f t="shared" si="24"/>
        <v>47371</v>
      </c>
      <c r="V56" s="14">
        <f t="shared" si="25"/>
        <v>0.54064658516492059</v>
      </c>
      <c r="W56" s="14">
        <f t="shared" si="26"/>
        <v>0.43127029157816904</v>
      </c>
      <c r="X56" s="9">
        <f t="shared" si="13"/>
        <v>0.46163720738557351</v>
      </c>
      <c r="Y56" s="9">
        <f t="shared" si="27"/>
        <v>0.23081860369278676</v>
      </c>
    </row>
    <row r="57" spans="15:25" x14ac:dyDescent="0.25">
      <c r="O57" s="9">
        <f t="shared" si="20"/>
        <v>38</v>
      </c>
      <c r="P57" s="8">
        <f t="shared" si="18"/>
        <v>47005</v>
      </c>
      <c r="Q57" s="8">
        <f t="shared" si="19"/>
        <v>47007</v>
      </c>
      <c r="R57" s="28">
        <f t="shared" si="21"/>
        <v>0.50555555555555554</v>
      </c>
      <c r="S57" s="9">
        <f t="shared" si="22"/>
        <v>17</v>
      </c>
      <c r="T57" s="8">
        <f t="shared" si="23"/>
        <v>45544</v>
      </c>
      <c r="U57" s="8">
        <f t="shared" si="24"/>
        <v>47371</v>
      </c>
      <c r="V57" s="14">
        <f t="shared" si="25"/>
        <v>0.54064658516492059</v>
      </c>
      <c r="W57" s="14">
        <f t="shared" si="26"/>
        <v>0.43127029157816904</v>
      </c>
      <c r="X57" s="9">
        <f t="shared" si="13"/>
        <v>0.45113560614192166</v>
      </c>
      <c r="Y57" s="9">
        <f t="shared" si="27"/>
        <v>0.22807411199397151</v>
      </c>
    </row>
    <row r="58" spans="15:25" x14ac:dyDescent="0.25">
      <c r="O58" s="9">
        <f t="shared" si="20"/>
        <v>39</v>
      </c>
      <c r="P58" s="8">
        <f t="shared" si="18"/>
        <v>47186</v>
      </c>
      <c r="Q58" s="8">
        <f t="shared" si="19"/>
        <v>47186</v>
      </c>
      <c r="R58" s="28">
        <f t="shared" si="21"/>
        <v>0.49444444444444446</v>
      </c>
      <c r="S58" s="9">
        <f t="shared" si="22"/>
        <v>17</v>
      </c>
      <c r="T58" s="8">
        <f t="shared" si="23"/>
        <v>45544</v>
      </c>
      <c r="U58" s="8">
        <f t="shared" si="24"/>
        <v>47371</v>
      </c>
      <c r="V58" s="14">
        <f t="shared" si="25"/>
        <v>0.54064658516492059</v>
      </c>
      <c r="W58" s="14">
        <f t="shared" si="26"/>
        <v>0.43127029157816904</v>
      </c>
      <c r="X58" s="9">
        <f t="shared" si="13"/>
        <v>0.44125487103315453</v>
      </c>
      <c r="Y58" s="9">
        <f t="shared" si="27"/>
        <v>0.21817601956639307</v>
      </c>
    </row>
    <row r="59" spans="15:25" x14ac:dyDescent="0.25">
      <c r="O59" s="9">
        <f t="shared" si="20"/>
        <v>40</v>
      </c>
      <c r="P59" s="8">
        <f t="shared" si="18"/>
        <v>47370</v>
      </c>
      <c r="Q59" s="8">
        <f t="shared" si="19"/>
        <v>47371</v>
      </c>
      <c r="R59" s="28">
        <f t="shared" si="21"/>
        <v>0.50277777777777777</v>
      </c>
      <c r="S59" s="9">
        <f t="shared" si="22"/>
        <v>17</v>
      </c>
      <c r="T59" s="8">
        <f t="shared" si="23"/>
        <v>45544</v>
      </c>
      <c r="U59" s="8">
        <f t="shared" si="24"/>
        <v>47371</v>
      </c>
      <c r="V59" s="14">
        <f t="shared" si="25"/>
        <v>0.54064658516492059</v>
      </c>
      <c r="W59" s="14">
        <f t="shared" si="26"/>
        <v>0.43127029157816904</v>
      </c>
      <c r="X59" s="9">
        <f t="shared" si="13"/>
        <v>0.43127029157816915</v>
      </c>
      <c r="Y59" s="9">
        <f t="shared" si="27"/>
        <v>0.21683311882124615</v>
      </c>
    </row>
    <row r="60" spans="15:25" x14ac:dyDescent="0.25">
      <c r="O60" s="9">
        <f t="shared" si="20"/>
        <v>41</v>
      </c>
      <c r="P60" s="8">
        <f t="shared" si="18"/>
        <v>47551</v>
      </c>
      <c r="Q60" s="8">
        <f t="shared" si="19"/>
        <v>47553</v>
      </c>
      <c r="R60" s="28">
        <f t="shared" si="21"/>
        <v>0.50277777777777777</v>
      </c>
      <c r="S60" s="9">
        <f t="shared" si="22"/>
        <v>18</v>
      </c>
      <c r="T60" s="8">
        <f t="shared" si="23"/>
        <v>47371</v>
      </c>
      <c r="U60" s="8">
        <f t="shared" si="24"/>
        <v>49198</v>
      </c>
      <c r="V60" s="14">
        <f t="shared" si="25"/>
        <v>0.43127029157816904</v>
      </c>
      <c r="W60" s="14">
        <f t="shared" si="26"/>
        <v>0.34656355037244441</v>
      </c>
      <c r="X60" s="9">
        <f t="shared" si="13"/>
        <v>0.4219774683804644</v>
      </c>
      <c r="Y60" s="9">
        <f t="shared" si="27"/>
        <v>0.21216089382462239</v>
      </c>
    </row>
    <row r="61" spans="15:25" x14ac:dyDescent="0.25">
      <c r="O61" s="9">
        <f t="shared" si="20"/>
        <v>42</v>
      </c>
      <c r="P61" s="8">
        <f t="shared" si="18"/>
        <v>47735</v>
      </c>
      <c r="Q61" s="8">
        <f t="shared" si="19"/>
        <v>47735</v>
      </c>
      <c r="R61" s="28">
        <f t="shared" si="21"/>
        <v>0.49444444444444446</v>
      </c>
      <c r="S61" s="9">
        <f t="shared" si="22"/>
        <v>18</v>
      </c>
      <c r="T61" s="8">
        <f t="shared" si="23"/>
        <v>47371</v>
      </c>
      <c r="U61" s="8">
        <f t="shared" si="24"/>
        <v>49198</v>
      </c>
      <c r="V61" s="14">
        <f t="shared" si="25"/>
        <v>0.43127029157816904</v>
      </c>
      <c r="W61" s="14">
        <f t="shared" si="26"/>
        <v>0.34656355037244441</v>
      </c>
      <c r="X61" s="9">
        <f t="shared" si="13"/>
        <v>0.41288488286355984</v>
      </c>
      <c r="Y61" s="9">
        <f t="shared" si="27"/>
        <v>0.20414863652698237</v>
      </c>
    </row>
    <row r="62" spans="15:25" x14ac:dyDescent="0.25">
      <c r="O62" s="9">
        <f t="shared" si="20"/>
        <v>43</v>
      </c>
      <c r="P62" s="8">
        <f t="shared" si="18"/>
        <v>47916</v>
      </c>
      <c r="Q62" s="8">
        <f t="shared" si="19"/>
        <v>47917</v>
      </c>
      <c r="R62" s="28">
        <f t="shared" si="21"/>
        <v>0.50277777777777777</v>
      </c>
      <c r="S62" s="9">
        <f t="shared" si="22"/>
        <v>18</v>
      </c>
      <c r="T62" s="8">
        <f t="shared" si="23"/>
        <v>47371</v>
      </c>
      <c r="U62" s="8">
        <f t="shared" si="24"/>
        <v>49198</v>
      </c>
      <c r="V62" s="14">
        <f t="shared" si="25"/>
        <v>0.43127029157816904</v>
      </c>
      <c r="W62" s="14">
        <f t="shared" si="26"/>
        <v>0.34656355037244441</v>
      </c>
      <c r="X62" s="9">
        <f t="shared" si="13"/>
        <v>0.40398822039368321</v>
      </c>
      <c r="Y62" s="9">
        <f t="shared" si="27"/>
        <v>0.20311629969793515</v>
      </c>
    </row>
    <row r="63" spans="15:25" x14ac:dyDescent="0.25">
      <c r="O63" s="9">
        <f t="shared" si="20"/>
        <v>44</v>
      </c>
      <c r="P63" s="8">
        <f t="shared" si="18"/>
        <v>48100</v>
      </c>
      <c r="Q63" s="8">
        <f t="shared" si="19"/>
        <v>48100</v>
      </c>
      <c r="R63" s="28">
        <f t="shared" si="21"/>
        <v>0.49722222222222223</v>
      </c>
      <c r="S63" s="9">
        <f t="shared" si="22"/>
        <v>18</v>
      </c>
      <c r="T63" s="8">
        <f t="shared" si="23"/>
        <v>47371</v>
      </c>
      <c r="U63" s="8">
        <f t="shared" si="24"/>
        <v>49198</v>
      </c>
      <c r="V63" s="14">
        <f t="shared" si="25"/>
        <v>0.43127029157816904</v>
      </c>
      <c r="W63" s="14">
        <f t="shared" si="26"/>
        <v>0.34656355037244441</v>
      </c>
      <c r="X63" s="9">
        <f t="shared" si="13"/>
        <v>0.39523595172715742</v>
      </c>
      <c r="Y63" s="9">
        <f t="shared" si="27"/>
        <v>0.19652009821989216</v>
      </c>
    </row>
    <row r="64" spans="15:25" x14ac:dyDescent="0.25">
      <c r="O64" s="9">
        <f t="shared" si="20"/>
        <v>45</v>
      </c>
      <c r="P64" s="8">
        <f t="shared" si="18"/>
        <v>48282</v>
      </c>
      <c r="Q64" s="8">
        <f t="shared" si="19"/>
        <v>48282</v>
      </c>
      <c r="R64" s="28">
        <f t="shared" si="21"/>
        <v>0.5</v>
      </c>
      <c r="S64" s="9">
        <f t="shared" si="22"/>
        <v>18</v>
      </c>
      <c r="T64" s="8">
        <f t="shared" si="23"/>
        <v>47371</v>
      </c>
      <c r="U64" s="8">
        <f t="shared" si="24"/>
        <v>49198</v>
      </c>
      <c r="V64" s="14">
        <f t="shared" si="25"/>
        <v>0.43127029157816904</v>
      </c>
      <c r="W64" s="14">
        <f t="shared" si="26"/>
        <v>0.34656355037244441</v>
      </c>
      <c r="X64" s="9">
        <f t="shared" si="13"/>
        <v>0.38671958068908541</v>
      </c>
      <c r="Y64" s="9">
        <f t="shared" si="27"/>
        <v>0.1933597903445427</v>
      </c>
    </row>
    <row r="65" spans="15:25" x14ac:dyDescent="0.25">
      <c r="O65" s="9">
        <f t="shared" si="20"/>
        <v>46</v>
      </c>
      <c r="P65" s="8">
        <f t="shared" si="18"/>
        <v>48466</v>
      </c>
      <c r="Q65" s="8">
        <f t="shared" si="19"/>
        <v>48466</v>
      </c>
      <c r="R65" s="28">
        <f t="shared" si="21"/>
        <v>0.5</v>
      </c>
      <c r="S65" s="9">
        <f t="shared" si="22"/>
        <v>18</v>
      </c>
      <c r="T65" s="8">
        <f t="shared" si="23"/>
        <v>47371</v>
      </c>
      <c r="U65" s="8">
        <f t="shared" si="24"/>
        <v>49198</v>
      </c>
      <c r="V65" s="14">
        <f t="shared" si="25"/>
        <v>0.43127029157816904</v>
      </c>
      <c r="W65" s="14">
        <f t="shared" si="26"/>
        <v>0.34656355037244441</v>
      </c>
      <c r="X65" s="9">
        <f t="shared" si="13"/>
        <v>0.37829615130453342</v>
      </c>
      <c r="Y65" s="9">
        <f t="shared" si="27"/>
        <v>0.18914807565226671</v>
      </c>
    </row>
    <row r="66" spans="15:25" x14ac:dyDescent="0.25">
      <c r="O66" s="9">
        <f t="shared" si="20"/>
        <v>47</v>
      </c>
      <c r="P66" s="8">
        <f t="shared" si="18"/>
        <v>48647</v>
      </c>
      <c r="Q66" s="8">
        <f t="shared" si="19"/>
        <v>48647</v>
      </c>
      <c r="R66" s="28">
        <f t="shared" si="21"/>
        <v>0.5</v>
      </c>
      <c r="S66" s="9">
        <f t="shared" si="22"/>
        <v>18</v>
      </c>
      <c r="T66" s="8">
        <f t="shared" si="23"/>
        <v>47371</v>
      </c>
      <c r="U66" s="8">
        <f t="shared" si="24"/>
        <v>49198</v>
      </c>
      <c r="V66" s="14">
        <f t="shared" si="25"/>
        <v>0.43127029157816904</v>
      </c>
      <c r="W66" s="14">
        <f t="shared" si="26"/>
        <v>0.34656355037244441</v>
      </c>
      <c r="X66" s="9">
        <f t="shared" si="13"/>
        <v>0.37018909596573052</v>
      </c>
      <c r="Y66" s="9">
        <f t="shared" si="27"/>
        <v>0.18509454798286526</v>
      </c>
    </row>
    <row r="67" spans="15:25" x14ac:dyDescent="0.25">
      <c r="O67" s="9">
        <f t="shared" si="20"/>
        <v>48</v>
      </c>
      <c r="P67" s="8">
        <f t="shared" si="18"/>
        <v>48831</v>
      </c>
      <c r="Q67" s="8">
        <f t="shared" si="19"/>
        <v>48831</v>
      </c>
      <c r="R67" s="28">
        <f t="shared" si="21"/>
        <v>0.5</v>
      </c>
      <c r="S67" s="9">
        <f t="shared" si="22"/>
        <v>18</v>
      </c>
      <c r="T67" s="8">
        <f t="shared" si="23"/>
        <v>47371</v>
      </c>
      <c r="U67" s="8">
        <f t="shared" si="24"/>
        <v>49198</v>
      </c>
      <c r="V67" s="14">
        <f t="shared" si="25"/>
        <v>0.43127029157816904</v>
      </c>
      <c r="W67" s="14">
        <f t="shared" si="26"/>
        <v>0.34656355037244441</v>
      </c>
      <c r="X67" s="9">
        <f t="shared" si="13"/>
        <v>0.36212572947355004</v>
      </c>
      <c r="Y67" s="9">
        <f t="shared" si="27"/>
        <v>0.18106286473677502</v>
      </c>
    </row>
    <row r="68" spans="15:25" x14ac:dyDescent="0.25">
      <c r="O68" s="9">
        <f t="shared" si="20"/>
        <v>49</v>
      </c>
      <c r="P68" s="8">
        <f t="shared" si="18"/>
        <v>49012</v>
      </c>
      <c r="Q68" s="8">
        <f t="shared" si="19"/>
        <v>49012</v>
      </c>
      <c r="R68" s="28">
        <f t="shared" si="21"/>
        <v>0.5</v>
      </c>
      <c r="S68" s="9">
        <f t="shared" si="22"/>
        <v>18</v>
      </c>
      <c r="T68" s="8">
        <f t="shared" si="23"/>
        <v>47371</v>
      </c>
      <c r="U68" s="8">
        <f t="shared" si="24"/>
        <v>49198</v>
      </c>
      <c r="V68" s="14">
        <f t="shared" si="25"/>
        <v>0.43127029157816904</v>
      </c>
      <c r="W68" s="14">
        <f t="shared" si="26"/>
        <v>0.34656355037244441</v>
      </c>
      <c r="X68" s="9">
        <f t="shared" si="13"/>
        <v>0.35436521349070838</v>
      </c>
      <c r="Y68" s="9">
        <f t="shared" si="27"/>
        <v>0.17718260674535419</v>
      </c>
    </row>
    <row r="69" spans="15:25" x14ac:dyDescent="0.25">
      <c r="O69" s="9">
        <f t="shared" si="20"/>
        <v>50</v>
      </c>
      <c r="P69" s="8">
        <f t="shared" si="18"/>
        <v>49196</v>
      </c>
      <c r="Q69" s="8">
        <f t="shared" si="19"/>
        <v>49198</v>
      </c>
      <c r="R69" s="28">
        <f t="shared" si="21"/>
        <v>0.50555555555555554</v>
      </c>
      <c r="S69" s="9">
        <f t="shared" si="22"/>
        <v>18</v>
      </c>
      <c r="T69" s="8">
        <f t="shared" si="23"/>
        <v>47371</v>
      </c>
      <c r="U69" s="8">
        <f t="shared" si="24"/>
        <v>49198</v>
      </c>
      <c r="V69" s="14">
        <f t="shared" si="25"/>
        <v>0.43127029157816904</v>
      </c>
      <c r="W69" s="14">
        <f t="shared" si="26"/>
        <v>0.34656355037244441</v>
      </c>
      <c r="X69" s="9">
        <f t="shared" si="13"/>
        <v>0.34656355037244446</v>
      </c>
      <c r="Y69" s="9">
        <f t="shared" si="27"/>
        <v>0.1752071282438469</v>
      </c>
    </row>
    <row r="70" spans="15:25" x14ac:dyDescent="0.25">
      <c r="O70" s="9">
        <f t="shared" si="20"/>
        <v>51</v>
      </c>
      <c r="P70" s="8">
        <f t="shared" si="18"/>
        <v>49377</v>
      </c>
      <c r="Q70" s="8">
        <f t="shared" si="19"/>
        <v>49377</v>
      </c>
      <c r="R70" s="28">
        <f t="shared" si="21"/>
        <v>0.49444444444444446</v>
      </c>
      <c r="S70" s="9">
        <f t="shared" si="22"/>
        <v>19</v>
      </c>
      <c r="T70" s="8">
        <f t="shared" si="23"/>
        <v>49198</v>
      </c>
      <c r="U70" s="8">
        <f t="shared" si="24"/>
        <v>51022</v>
      </c>
      <c r="V70" s="14">
        <f t="shared" si="25"/>
        <v>0.34656355037244441</v>
      </c>
      <c r="W70" s="14">
        <f t="shared" si="26"/>
        <v>0.27773452755721245</v>
      </c>
      <c r="X70" s="9">
        <f t="shared" si="13"/>
        <v>0.3391148558693321</v>
      </c>
      <c r="Y70" s="9">
        <f t="shared" si="27"/>
        <v>0.16767345651316976</v>
      </c>
    </row>
    <row r="71" spans="15:25" x14ac:dyDescent="0.25">
      <c r="O71" s="9">
        <f t="shared" si="20"/>
        <v>52</v>
      </c>
      <c r="P71" s="8">
        <f t="shared" si="18"/>
        <v>49561</v>
      </c>
      <c r="Q71" s="8">
        <f t="shared" si="19"/>
        <v>49562</v>
      </c>
      <c r="R71" s="28">
        <f t="shared" si="21"/>
        <v>0.50277777777777777</v>
      </c>
      <c r="S71" s="9">
        <f t="shared" si="22"/>
        <v>19</v>
      </c>
      <c r="T71" s="8">
        <f t="shared" si="23"/>
        <v>49198</v>
      </c>
      <c r="U71" s="8">
        <f t="shared" si="24"/>
        <v>51022</v>
      </c>
      <c r="V71" s="14">
        <f t="shared" si="25"/>
        <v>0.34656355037244441</v>
      </c>
      <c r="W71" s="14">
        <f t="shared" si="26"/>
        <v>0.27773452755721245</v>
      </c>
      <c r="X71" s="9">
        <f t="shared" si="13"/>
        <v>0.33158467812396053</v>
      </c>
      <c r="Y71" s="9">
        <f t="shared" si="27"/>
        <v>0.16671340761232459</v>
      </c>
    </row>
    <row r="72" spans="15:25" x14ac:dyDescent="0.25">
      <c r="O72" s="9">
        <f t="shared" si="20"/>
        <v>53</v>
      </c>
      <c r="P72" s="8">
        <f t="shared" si="18"/>
        <v>49743</v>
      </c>
      <c r="Q72" s="8">
        <f t="shared" si="19"/>
        <v>49744</v>
      </c>
      <c r="R72" s="28">
        <f t="shared" si="21"/>
        <v>0.5</v>
      </c>
      <c r="S72" s="9">
        <f t="shared" si="22"/>
        <v>19</v>
      </c>
      <c r="T72" s="8">
        <f t="shared" si="23"/>
        <v>49198</v>
      </c>
      <c r="U72" s="8">
        <f t="shared" si="24"/>
        <v>51022</v>
      </c>
      <c r="V72" s="14">
        <f t="shared" si="25"/>
        <v>0.34656355037244441</v>
      </c>
      <c r="W72" s="14">
        <f t="shared" si="26"/>
        <v>0.27773452755721245</v>
      </c>
      <c r="X72" s="9">
        <f t="shared" si="13"/>
        <v>0.32433979630330562</v>
      </c>
      <c r="Y72" s="9">
        <f t="shared" si="27"/>
        <v>0.16216989815165281</v>
      </c>
    </row>
    <row r="73" spans="15:25" x14ac:dyDescent="0.25">
      <c r="O73" s="9">
        <f t="shared" si="20"/>
        <v>54</v>
      </c>
      <c r="P73" s="8">
        <f t="shared" si="18"/>
        <v>49927</v>
      </c>
      <c r="Q73" s="8">
        <f t="shared" si="19"/>
        <v>49927</v>
      </c>
      <c r="R73" s="28">
        <f t="shared" si="21"/>
        <v>0.49722222222222223</v>
      </c>
      <c r="S73" s="9">
        <f t="shared" si="22"/>
        <v>19</v>
      </c>
      <c r="T73" s="8">
        <f t="shared" si="23"/>
        <v>49198</v>
      </c>
      <c r="U73" s="8">
        <f t="shared" si="24"/>
        <v>51022</v>
      </c>
      <c r="V73" s="14">
        <f t="shared" si="25"/>
        <v>0.34656355037244441</v>
      </c>
      <c r="W73" s="14">
        <f t="shared" si="26"/>
        <v>0.27773452755721245</v>
      </c>
      <c r="X73" s="9">
        <f t="shared" si="13"/>
        <v>0.31721470338906443</v>
      </c>
      <c r="Y73" s="9">
        <f t="shared" si="27"/>
        <v>0.1577261997406737</v>
      </c>
    </row>
    <row r="74" spans="15:25" x14ac:dyDescent="0.25">
      <c r="O74" s="9">
        <f t="shared" si="20"/>
        <v>55</v>
      </c>
      <c r="P74" s="8">
        <f t="shared" si="18"/>
        <v>50108</v>
      </c>
      <c r="Q74" s="8">
        <f t="shared" si="19"/>
        <v>50108</v>
      </c>
      <c r="R74" s="28">
        <f t="shared" si="21"/>
        <v>0.5</v>
      </c>
      <c r="S74" s="9">
        <f t="shared" si="22"/>
        <v>19</v>
      </c>
      <c r="T74" s="8">
        <f t="shared" si="23"/>
        <v>49198</v>
      </c>
      <c r="U74" s="8">
        <f t="shared" si="24"/>
        <v>51022</v>
      </c>
      <c r="V74" s="14">
        <f t="shared" si="25"/>
        <v>0.34656355037244441</v>
      </c>
      <c r="W74" s="14">
        <f t="shared" si="26"/>
        <v>0.27773452755721245</v>
      </c>
      <c r="X74" s="9">
        <f t="shared" si="13"/>
        <v>0.31032146007404726</v>
      </c>
      <c r="Y74" s="9">
        <f t="shared" si="27"/>
        <v>0.15516073003702363</v>
      </c>
    </row>
    <row r="75" spans="15:25" x14ac:dyDescent="0.25">
      <c r="O75" s="9">
        <f t="shared" si="20"/>
        <v>56</v>
      </c>
      <c r="P75" s="8">
        <f t="shared" si="18"/>
        <v>50292</v>
      </c>
      <c r="Q75" s="8">
        <f t="shared" si="19"/>
        <v>50292</v>
      </c>
      <c r="R75" s="28">
        <f t="shared" si="21"/>
        <v>0.5</v>
      </c>
      <c r="S75" s="9">
        <f t="shared" si="22"/>
        <v>19</v>
      </c>
      <c r="T75" s="8">
        <f t="shared" si="23"/>
        <v>49198</v>
      </c>
      <c r="U75" s="8">
        <f t="shared" si="24"/>
        <v>51022</v>
      </c>
      <c r="V75" s="14">
        <f t="shared" si="25"/>
        <v>0.34656355037244441</v>
      </c>
      <c r="W75" s="14">
        <f t="shared" si="26"/>
        <v>0.27773452755721245</v>
      </c>
      <c r="X75" s="9">
        <f t="shared" si="13"/>
        <v>0.30346748412963209</v>
      </c>
      <c r="Y75" s="9">
        <f t="shared" si="27"/>
        <v>0.15173374206481605</v>
      </c>
    </row>
    <row r="76" spans="15:25" x14ac:dyDescent="0.25">
      <c r="O76" s="9">
        <f t="shared" si="20"/>
        <v>57</v>
      </c>
      <c r="P76" s="8">
        <f t="shared" si="18"/>
        <v>50473</v>
      </c>
      <c r="Q76" s="8">
        <f t="shared" si="19"/>
        <v>50473</v>
      </c>
      <c r="R76" s="28">
        <f t="shared" si="21"/>
        <v>0.5</v>
      </c>
      <c r="S76" s="9">
        <f t="shared" si="22"/>
        <v>19</v>
      </c>
      <c r="T76" s="8">
        <f t="shared" si="23"/>
        <v>49198</v>
      </c>
      <c r="U76" s="8">
        <f t="shared" si="24"/>
        <v>51022</v>
      </c>
      <c r="V76" s="14">
        <f t="shared" si="25"/>
        <v>0.34656355037244441</v>
      </c>
      <c r="W76" s="14">
        <f t="shared" si="26"/>
        <v>0.27773452755721245</v>
      </c>
      <c r="X76" s="9">
        <f t="shared" si="13"/>
        <v>0.29687297516156574</v>
      </c>
      <c r="Y76" s="9">
        <f t="shared" si="27"/>
        <v>0.14843648758078287</v>
      </c>
    </row>
    <row r="77" spans="15:25" x14ac:dyDescent="0.25">
      <c r="O77" s="9">
        <f t="shared" si="20"/>
        <v>58</v>
      </c>
      <c r="P77" s="8">
        <f t="shared" si="18"/>
        <v>50657</v>
      </c>
      <c r="Q77" s="8">
        <f t="shared" si="19"/>
        <v>50657</v>
      </c>
      <c r="R77" s="28">
        <f t="shared" si="21"/>
        <v>0.5</v>
      </c>
      <c r="S77" s="9">
        <f t="shared" si="22"/>
        <v>19</v>
      </c>
      <c r="T77" s="8">
        <f t="shared" si="23"/>
        <v>49198</v>
      </c>
      <c r="U77" s="8">
        <f t="shared" si="24"/>
        <v>51022</v>
      </c>
      <c r="V77" s="14">
        <f t="shared" si="25"/>
        <v>0.34656355037244441</v>
      </c>
      <c r="W77" s="14">
        <f t="shared" si="26"/>
        <v>0.27773452755721245</v>
      </c>
      <c r="X77" s="9">
        <f t="shared" si="13"/>
        <v>0.29031603182345816</v>
      </c>
      <c r="Y77" s="9">
        <f t="shared" si="27"/>
        <v>0.14515801591172908</v>
      </c>
    </row>
    <row r="78" spans="15:25" x14ac:dyDescent="0.25">
      <c r="O78" s="9">
        <f t="shared" si="20"/>
        <v>59</v>
      </c>
      <c r="P78" s="8">
        <f t="shared" si="18"/>
        <v>50838</v>
      </c>
      <c r="Q78" s="8">
        <f t="shared" si="19"/>
        <v>50838</v>
      </c>
      <c r="R78" s="28">
        <f t="shared" si="21"/>
        <v>0.5</v>
      </c>
      <c r="S78" s="9">
        <f t="shared" si="22"/>
        <v>19</v>
      </c>
      <c r="T78" s="8">
        <f t="shared" si="23"/>
        <v>49198</v>
      </c>
      <c r="U78" s="8">
        <f t="shared" si="24"/>
        <v>51022</v>
      </c>
      <c r="V78" s="14">
        <f t="shared" si="25"/>
        <v>0.34656355037244441</v>
      </c>
      <c r="W78" s="14">
        <f t="shared" si="26"/>
        <v>0.27773452755721245</v>
      </c>
      <c r="X78" s="9">
        <f t="shared" si="13"/>
        <v>0.28400731087128062</v>
      </c>
      <c r="Y78" s="9">
        <f t="shared" si="27"/>
        <v>0.14200365543564031</v>
      </c>
    </row>
    <row r="79" spans="15:25" x14ac:dyDescent="0.25">
      <c r="O79" s="9">
        <f t="shared" si="20"/>
        <v>60</v>
      </c>
      <c r="P79" s="8">
        <f t="shared" si="18"/>
        <v>51022</v>
      </c>
      <c r="Q79" s="8">
        <f t="shared" si="19"/>
        <v>51022</v>
      </c>
      <c r="R79" s="28">
        <f t="shared" si="21"/>
        <v>0.5</v>
      </c>
      <c r="S79" s="9">
        <f t="shared" si="22"/>
        <v>19</v>
      </c>
      <c r="T79" s="8">
        <f t="shared" si="23"/>
        <v>49198</v>
      </c>
      <c r="U79" s="8">
        <f t="shared" si="24"/>
        <v>51022</v>
      </c>
      <c r="V79" s="14">
        <f t="shared" si="25"/>
        <v>0.34656355037244441</v>
      </c>
      <c r="W79" s="14">
        <f t="shared" si="26"/>
        <v>0.27773452755721245</v>
      </c>
      <c r="X79" s="9">
        <f t="shared" si="13"/>
        <v>0.27773452755721234</v>
      </c>
      <c r="Y79" s="9">
        <f t="shared" si="27"/>
        <v>0.13886726377860617</v>
      </c>
    </row>
  </sheetData>
  <dataValidations count="1">
    <dataValidation type="list" allowBlank="1" showInputMessage="1" showErrorMessage="1" sqref="C22:C24">
      <formula1>DCCs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YieldCurveBootstrap</vt:lpstr>
      <vt:lpstr>CouponDates</vt:lpstr>
      <vt:lpstr>CouponPVs</vt:lpstr>
      <vt:lpstr>DCCCodes</vt:lpstr>
      <vt:lpstr>DCCs</vt:lpstr>
      <vt:lpstr>DepoDCC</vt:lpstr>
      <vt:lpstr>DiscountFactors</vt:lpstr>
      <vt:lpstr>MarketRates</vt:lpstr>
      <vt:lpstr>Nodes</vt:lpstr>
      <vt:lpstr>SpotDate</vt:lpstr>
      <vt:lpstr>SpotDays</vt:lpstr>
      <vt:lpstr>SwapDCC</vt:lpstr>
      <vt:lpstr>SwapDFs</vt:lpstr>
      <vt:lpstr>SwapPVs</vt:lpstr>
      <vt:lpstr>Tenors</vt:lpstr>
      <vt:lpstr>TradeDate</vt:lpstr>
      <vt:lpstr>ZeroDCC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Rotchell</dc:creator>
  <cp:lastModifiedBy>Mark Rotchell</cp:lastModifiedBy>
  <dcterms:created xsi:type="dcterms:W3CDTF">2017-12-08T10:47:58Z</dcterms:created>
  <dcterms:modified xsi:type="dcterms:W3CDTF">2017-12-09T15:41:12Z</dcterms:modified>
</cp:coreProperties>
</file>