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CDS\For Blog\"/>
    </mc:Choice>
  </mc:AlternateContent>
  <bookViews>
    <workbookView xWindow="0" yWindow="0" windowWidth="19200" windowHeight="11370"/>
  </bookViews>
  <sheets>
    <sheet name="Example Valuatio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</calcChain>
</file>

<file path=xl/sharedStrings.xml><?xml version="1.0" encoding="utf-8"?>
<sst xmlns="http://schemas.openxmlformats.org/spreadsheetml/2006/main" count="13" uniqueCount="13">
  <si>
    <t>Trade Date</t>
  </si>
  <si>
    <t>Maturity Date</t>
  </si>
  <si>
    <t>Notional</t>
  </si>
  <si>
    <t>Coupon</t>
  </si>
  <si>
    <t>Recovery</t>
  </si>
  <si>
    <t>Date</t>
  </si>
  <si>
    <t>Zero Rate</t>
  </si>
  <si>
    <t>Yield Curve</t>
  </si>
  <si>
    <t>NPV</t>
  </si>
  <si>
    <t>Traded Spread</t>
  </si>
  <si>
    <t>ISDA CDS Valuation Model Example</t>
  </si>
  <si>
    <t>Work in Progress</t>
  </si>
  <si>
    <t>Author: Mark Rotchell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</si>
</sst>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%"/>
    <numFmt numFmtId="165" formatCode="ddmmmyy"/>
    <numFmt numFmtId="166" formatCode="0.00000%"/>
    <numFmt numFmtId="167" formatCode="#,##0.00;[Red]\(#,##0.00\)"/>
    <numFmt numFmtId="168" formatCode="0.000%"/>
    <numFmt numFmtId="169" formatCode="0.0000000000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40" fontId="0" fillId="2" borderId="0" xfId="0" applyNumberFormat="1" applyFill="1"/>
    <xf numFmtId="166" fontId="0" fillId="3" borderId="0" xfId="1" applyNumberFormat="1" applyFont="1" applyFill="1"/>
    <xf numFmtId="165" fontId="2" fillId="3" borderId="0" xfId="0" applyNumberFormat="1" applyFont="1" applyFill="1"/>
    <xf numFmtId="165" fontId="2" fillId="2" borderId="0" xfId="0" applyNumberFormat="1" applyFont="1" applyFill="1"/>
    <xf numFmtId="165" fontId="0" fillId="2" borderId="0" xfId="0" applyNumberFormat="1" applyFill="1"/>
    <xf numFmtId="14" fontId="0" fillId="2" borderId="0" xfId="0" applyNumberFormat="1" applyFill="1"/>
    <xf numFmtId="0" fontId="0" fillId="2" borderId="0" xfId="0" applyNumberFormat="1" applyFill="1"/>
    <xf numFmtId="11" fontId="0" fillId="2" borderId="0" xfId="0" applyNumberFormat="1" applyFill="1"/>
    <xf numFmtId="167" fontId="0" fillId="2" borderId="0" xfId="0" applyNumberFormat="1" applyFill="1"/>
    <xf numFmtId="168" fontId="0" fillId="2" borderId="0" xfId="0" applyNumberFormat="1" applyFill="1"/>
    <xf numFmtId="169" fontId="0" fillId="2" borderId="0" xfId="0" applyNumberFormat="1" applyFill="1"/>
    <xf numFmtId="40" fontId="0" fillId="3" borderId="0" xfId="0" applyNumberFormat="1" applyFill="1"/>
    <xf numFmtId="10" fontId="0" fillId="3" borderId="0" xfId="0" applyNumberFormat="1" applyFill="1"/>
    <xf numFmtId="164" fontId="0" fillId="3" borderId="0" xfId="0" applyNumberFormat="1" applyFill="1"/>
    <xf numFmtId="166" fontId="0" fillId="3" borderId="0" xfId="0" applyNumberFormat="1" applyFill="1"/>
    <xf numFmtId="40" fontId="0" fillId="4" borderId="0" xfId="0" quotePrefix="1" applyNumberFormat="1" applyFill="1"/>
    <xf numFmtId="0" fontId="3" fillId="5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45"/>
  <sheetViews>
    <sheetView tabSelected="1" workbookViewId="0">
      <selection activeCell="E11" sqref="E11"/>
    </sheetView>
  </sheetViews>
  <sheetFormatPr defaultRowHeight="15" x14ac:dyDescent="0.25"/>
  <cols>
    <col min="1" max="1" width="3" style="1" customWidth="1"/>
    <col min="2" max="2" width="13.28515625" style="1" bestFit="1" customWidth="1"/>
    <col min="3" max="3" width="16.28515625" style="1" customWidth="1"/>
    <col min="4" max="4" width="12.7109375" style="1" bestFit="1" customWidth="1"/>
    <col min="5" max="6" width="15.42578125" style="1" bestFit="1" customWidth="1"/>
    <col min="7" max="8" width="15.28515625" style="1" bestFit="1" customWidth="1"/>
    <col min="9" max="9" width="12.7109375" style="1" bestFit="1" customWidth="1"/>
    <col min="10" max="10" width="23" style="1" bestFit="1" customWidth="1"/>
    <col min="11" max="12" width="12" style="1" bestFit="1" customWidth="1"/>
    <col min="13" max="14" width="8.28515625" style="1" bestFit="1" customWidth="1"/>
    <col min="15" max="17" width="12" style="1" bestFit="1" customWidth="1"/>
    <col min="18" max="16384" width="9.140625" style="1"/>
  </cols>
  <sheetData>
    <row r="1" spans="2:11" s="18" customFormat="1" x14ac:dyDescent="0.25"/>
    <row r="2" spans="2:11" s="18" customFormat="1" x14ac:dyDescent="0.25">
      <c r="B2" s="18" t="s">
        <v>10</v>
      </c>
    </row>
    <row r="3" spans="2:11" s="18" customFormat="1" x14ac:dyDescent="0.25">
      <c r="B3" s="18" t="s">
        <v>11</v>
      </c>
    </row>
    <row r="4" spans="2:11" s="18" customFormat="1" x14ac:dyDescent="0.25">
      <c r="B4" s="18" t="s">
        <v>12</v>
      </c>
    </row>
    <row r="6" spans="2:11" x14ac:dyDescent="0.25">
      <c r="B6" s="1" t="s">
        <v>0</v>
      </c>
      <c r="C6" s="4">
        <v>40063</v>
      </c>
    </row>
    <row r="7" spans="2:11" x14ac:dyDescent="0.25">
      <c r="B7" s="1" t="s">
        <v>1</v>
      </c>
      <c r="C7" s="4">
        <v>40441</v>
      </c>
      <c r="D7" s="6"/>
      <c r="G7" s="7"/>
    </row>
    <row r="8" spans="2:11" x14ac:dyDescent="0.25">
      <c r="B8" s="1" t="s">
        <v>2</v>
      </c>
      <c r="C8" s="13">
        <v>1000000000</v>
      </c>
      <c r="G8" s="7"/>
    </row>
    <row r="9" spans="2:11" x14ac:dyDescent="0.25">
      <c r="B9" s="1" t="s">
        <v>3</v>
      </c>
      <c r="C9" s="14">
        <v>0.01</v>
      </c>
      <c r="G9" s="10"/>
    </row>
    <row r="10" spans="2:11" x14ac:dyDescent="0.25">
      <c r="B10" s="1" t="s">
        <v>4</v>
      </c>
      <c r="C10" s="15">
        <v>0.2</v>
      </c>
    </row>
    <row r="11" spans="2:11" x14ac:dyDescent="0.25">
      <c r="B11" s="1" t="s">
        <v>9</v>
      </c>
      <c r="C11" s="16">
        <v>1E-3</v>
      </c>
      <c r="G11" s="7"/>
    </row>
    <row r="12" spans="2:11" x14ac:dyDescent="0.25">
      <c r="B12" s="1" t="s">
        <v>8</v>
      </c>
      <c r="C12" s="17">
        <f>MR_CDS_NPVFromTradedSpread(C6,C7,C8,C9,C10,C11,B17:B36,C17:C36,TRUE)</f>
        <v>11548695.035680221</v>
      </c>
      <c r="D12" s="2"/>
      <c r="E12" s="8"/>
      <c r="G12" s="7"/>
      <c r="H12" s="11"/>
    </row>
    <row r="13" spans="2:11" x14ac:dyDescent="0.25">
      <c r="C13" s="2"/>
      <c r="D13" s="5"/>
      <c r="E13" s="6"/>
      <c r="I13" s="2"/>
    </row>
    <row r="14" spans="2:11" x14ac:dyDescent="0.25">
      <c r="C14" s="8"/>
      <c r="E14" s="6"/>
      <c r="H14" s="9"/>
      <c r="I14" s="9"/>
      <c r="J14" s="9"/>
      <c r="K14" s="9"/>
    </row>
    <row r="15" spans="2:11" x14ac:dyDescent="0.25">
      <c r="B15" s="1" t="s">
        <v>7</v>
      </c>
      <c r="H15" s="9"/>
      <c r="I15" s="9"/>
      <c r="J15" s="9"/>
      <c r="K15" s="9"/>
    </row>
    <row r="16" spans="2:11" x14ac:dyDescent="0.25">
      <c r="B16" s="1" t="s">
        <v>5</v>
      </c>
      <c r="C16" s="1" t="s">
        <v>6</v>
      </c>
      <c r="G16" s="9"/>
      <c r="H16" s="9"/>
      <c r="I16" s="7"/>
      <c r="J16" s="12"/>
      <c r="K16" s="9"/>
    </row>
    <row r="17" spans="2:16" x14ac:dyDescent="0.25">
      <c r="B17" s="4">
        <v>40095</v>
      </c>
      <c r="C17" s="3">
        <v>2.5729779171757903E-3</v>
      </c>
      <c r="G17" s="9"/>
      <c r="H17" s="9"/>
      <c r="I17" s="9"/>
      <c r="J17" s="12"/>
      <c r="K17" s="9"/>
      <c r="M17" s="9"/>
      <c r="N17" s="9"/>
      <c r="P17" s="9"/>
    </row>
    <row r="18" spans="2:16" x14ac:dyDescent="0.25">
      <c r="B18" s="4">
        <v>40126</v>
      </c>
      <c r="C18" s="3">
        <v>2.686202510907267E-3</v>
      </c>
      <c r="G18" s="9"/>
      <c r="H18" s="9"/>
      <c r="I18" s="9"/>
      <c r="J18" s="9"/>
      <c r="K18" s="9"/>
      <c r="M18" s="9"/>
      <c r="N18" s="9"/>
      <c r="O18" s="9"/>
      <c r="P18" s="9"/>
    </row>
    <row r="19" spans="2:16" x14ac:dyDescent="0.25">
      <c r="B19" s="4">
        <v>40156</v>
      </c>
      <c r="C19" s="3">
        <v>3.1864006649003364E-3</v>
      </c>
      <c r="G19" s="9"/>
      <c r="H19" s="9"/>
      <c r="I19" s="9"/>
      <c r="J19" s="9"/>
      <c r="K19" s="9"/>
      <c r="M19" s="9"/>
      <c r="N19" s="9"/>
      <c r="O19" s="9"/>
      <c r="P19" s="9"/>
    </row>
    <row r="20" spans="2:16" x14ac:dyDescent="0.25">
      <c r="B20" s="4">
        <v>40246</v>
      </c>
      <c r="C20" s="3">
        <v>7.2110499889153634E-3</v>
      </c>
      <c r="G20" s="9"/>
      <c r="H20" s="9"/>
      <c r="I20" s="9"/>
      <c r="J20" s="9"/>
      <c r="M20" s="9"/>
      <c r="N20" s="9"/>
      <c r="P20" s="9"/>
    </row>
    <row r="21" spans="2:16" x14ac:dyDescent="0.25">
      <c r="B21" s="4">
        <v>40338</v>
      </c>
      <c r="C21" s="3">
        <v>1.0365258546537815E-2</v>
      </c>
      <c r="D21" s="7"/>
      <c r="G21" s="9"/>
      <c r="H21" s="9"/>
      <c r="I21" s="9"/>
      <c r="J21" s="9"/>
      <c r="M21" s="9"/>
      <c r="N21" s="9"/>
      <c r="P21" s="9"/>
    </row>
    <row r="22" spans="2:16" x14ac:dyDescent="0.25">
      <c r="B22" s="4">
        <v>40430</v>
      </c>
      <c r="C22" s="3">
        <v>1.2975357553516897E-2</v>
      </c>
      <c r="D22" s="7"/>
      <c r="E22" s="6"/>
      <c r="G22" s="9"/>
      <c r="H22" s="9"/>
      <c r="I22" s="9"/>
      <c r="M22" s="9"/>
      <c r="N22" s="9"/>
      <c r="O22" s="9"/>
    </row>
    <row r="23" spans="2:16" x14ac:dyDescent="0.25">
      <c r="B23" s="4">
        <v>40795</v>
      </c>
      <c r="C23" s="3">
        <v>1.2924526770472865E-2</v>
      </c>
      <c r="E23" s="6"/>
      <c r="G23" s="9"/>
      <c r="H23" s="9"/>
      <c r="I23" s="9"/>
      <c r="M23" s="9"/>
      <c r="N23" s="9"/>
      <c r="P23" s="9"/>
    </row>
    <row r="24" spans="2:16" x14ac:dyDescent="0.25">
      <c r="B24" s="4">
        <v>41162</v>
      </c>
      <c r="C24" s="3">
        <v>1.9230535082122094E-2</v>
      </c>
      <c r="E24" s="6"/>
      <c r="G24" s="9"/>
      <c r="H24" s="9"/>
      <c r="I24" s="9"/>
      <c r="M24" s="9"/>
      <c r="N24" s="9"/>
      <c r="O24" s="9"/>
    </row>
    <row r="25" spans="2:16" x14ac:dyDescent="0.25">
      <c r="B25" s="4">
        <v>41526</v>
      </c>
      <c r="C25" s="3">
        <v>2.3966913391897451E-2</v>
      </c>
      <c r="E25" s="6"/>
      <c r="G25" s="7"/>
      <c r="H25" s="7"/>
      <c r="I25" s="7"/>
      <c r="M25" s="9"/>
      <c r="N25" s="9"/>
      <c r="P25" s="9"/>
    </row>
    <row r="26" spans="2:16" x14ac:dyDescent="0.25">
      <c r="B26" s="4">
        <v>41891</v>
      </c>
      <c r="C26" s="3">
        <v>2.7766717945124166E-2</v>
      </c>
      <c r="E26" s="6"/>
      <c r="G26" s="7"/>
      <c r="H26" s="7"/>
      <c r="I26" s="7"/>
      <c r="M26" s="9"/>
      <c r="N26" s="9"/>
      <c r="O26" s="9"/>
    </row>
    <row r="27" spans="2:16" x14ac:dyDescent="0.25">
      <c r="B27" s="4">
        <v>42256</v>
      </c>
      <c r="C27" s="3">
        <v>3.0639485445600665E-2</v>
      </c>
      <c r="G27" s="7"/>
      <c r="H27" s="7"/>
      <c r="I27" s="7"/>
      <c r="M27" s="9"/>
      <c r="N27" s="9"/>
      <c r="P27" s="9"/>
    </row>
    <row r="28" spans="2:16" x14ac:dyDescent="0.25">
      <c r="B28" s="4">
        <v>42622</v>
      </c>
      <c r="C28" s="3">
        <v>3.3050448672035188E-2</v>
      </c>
      <c r="E28" s="7"/>
    </row>
    <row r="29" spans="2:16" x14ac:dyDescent="0.25">
      <c r="B29" s="4">
        <v>42989</v>
      </c>
      <c r="C29" s="3">
        <v>3.4719043027793876E-2</v>
      </c>
      <c r="E29" s="7"/>
    </row>
    <row r="30" spans="2:16" x14ac:dyDescent="0.25">
      <c r="B30" s="4">
        <v>43353</v>
      </c>
      <c r="C30" s="3">
        <v>3.6252651551057904E-2</v>
      </c>
      <c r="E30" s="7"/>
    </row>
    <row r="31" spans="2:16" x14ac:dyDescent="0.25">
      <c r="B31" s="4">
        <v>43717</v>
      </c>
      <c r="C31" s="3">
        <v>3.7410491827894576E-2</v>
      </c>
      <c r="E31" s="7"/>
    </row>
    <row r="32" spans="2:16" x14ac:dyDescent="0.25">
      <c r="B32" s="4">
        <v>44448</v>
      </c>
      <c r="C32" s="3">
        <v>3.9233889151539601E-2</v>
      </c>
      <c r="E32" s="7"/>
    </row>
    <row r="33" spans="2:5" x14ac:dyDescent="0.25">
      <c r="B33" s="4">
        <v>45544</v>
      </c>
      <c r="C33" s="3">
        <v>4.0969366428884553E-2</v>
      </c>
    </row>
    <row r="34" spans="2:5" x14ac:dyDescent="0.25">
      <c r="B34" s="4">
        <v>47371</v>
      </c>
      <c r="C34" s="3">
        <v>4.2016478848467501E-2</v>
      </c>
    </row>
    <row r="35" spans="2:5" x14ac:dyDescent="0.25">
      <c r="B35" s="4">
        <v>49198</v>
      </c>
      <c r="C35" s="3">
        <v>4.235043367784691E-2</v>
      </c>
    </row>
    <row r="36" spans="2:5" x14ac:dyDescent="0.25">
      <c r="B36" s="4">
        <v>51022</v>
      </c>
      <c r="C36" s="3">
        <v>4.2675704007964367E-2</v>
      </c>
      <c r="E36" s="7"/>
    </row>
    <row r="37" spans="2:5" x14ac:dyDescent="0.25">
      <c r="E37" s="7"/>
    </row>
    <row r="38" spans="2:5" x14ac:dyDescent="0.25">
      <c r="E38" s="7"/>
    </row>
    <row r="39" spans="2:5" x14ac:dyDescent="0.25">
      <c r="E39" s="7"/>
    </row>
    <row r="40" spans="2:5" x14ac:dyDescent="0.25">
      <c r="E40" s="7"/>
    </row>
    <row r="41" spans="2:5" x14ac:dyDescent="0.25">
      <c r="E41" s="7"/>
    </row>
    <row r="42" spans="2:5" x14ac:dyDescent="0.25">
      <c r="E42" s="7"/>
    </row>
    <row r="43" spans="2:5" x14ac:dyDescent="0.25">
      <c r="E43" s="7"/>
    </row>
    <row r="44" spans="2:5" x14ac:dyDescent="0.25">
      <c r="E44" s="7"/>
    </row>
    <row r="45" spans="2:5" x14ac:dyDescent="0.25">
      <c r="E45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 Valuation</vt:lpstr>
    </vt:vector>
  </TitlesOfParts>
  <Company>rotchvba.wordpress.com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ISDA CDS Model VBA Example</dc:title>
  <dc:creator>Mark Rotchell</dc:creator>
  <cp:lastModifiedBy>Mark Rotchell</cp:lastModifiedBy>
  <dcterms:created xsi:type="dcterms:W3CDTF">2018-01-05T11:12:16Z</dcterms:created>
  <dcterms:modified xsi:type="dcterms:W3CDTF">2018-01-20T12:20:14Z</dcterms:modified>
  <cp:contentStatus>Work In Progress</cp:contentStatus>
</cp:coreProperties>
</file>